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86b960f23502d0c/Documents/"/>
    </mc:Choice>
  </mc:AlternateContent>
  <xr:revisionPtr revIDLastSave="731" documentId="8_{D6BB0ABE-9475-4B2B-A828-62293C677ED7}" xr6:coauthVersionLast="47" xr6:coauthVersionMax="47" xr10:uidLastSave="{23291A29-D8AC-4466-8CE3-E6D0E615CD10}"/>
  <bookViews>
    <workbookView xWindow="-108" yWindow="-108" windowWidth="23256" windowHeight="12456" xr2:uid="{677EDBE8-FD67-4C9B-A539-D8DB3C88EAF1}"/>
  </bookViews>
  <sheets>
    <sheet name="Project Overview" sheetId="4" r:id="rId1"/>
    <sheet name="Dashboard" sheetId="2" r:id="rId2"/>
    <sheet name="Pivot Table" sheetId="3" r:id="rId3"/>
    <sheet name="Data List" sheetId="1" r:id="rId4"/>
  </sheets>
  <definedNames>
    <definedName name="_xlnm._FilterDatabase" localSheetId="3" hidden="1">'Data List'!$A$1:$G$201</definedName>
    <definedName name="NativeTimeline_Month">#N/A</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1" i="3" l="1"/>
  <c r="N10" i="3"/>
  <c r="N13" i="3"/>
</calcChain>
</file>

<file path=xl/sharedStrings.xml><?xml version="1.0" encoding="utf-8"?>
<sst xmlns="http://schemas.openxmlformats.org/spreadsheetml/2006/main" count="915" uniqueCount="238">
  <si>
    <t>Category</t>
  </si>
  <si>
    <t>Vendor</t>
  </si>
  <si>
    <t>Month</t>
  </si>
  <si>
    <t>Amount</t>
  </si>
  <si>
    <t>Payment_Status</t>
  </si>
  <si>
    <t>Delay_Days</t>
  </si>
  <si>
    <t>Region</t>
  </si>
  <si>
    <t>Raw Materials</t>
  </si>
  <si>
    <t>Paid on Time</t>
  </si>
  <si>
    <t>West</t>
  </si>
  <si>
    <t>Maintenance</t>
  </si>
  <si>
    <t>North</t>
  </si>
  <si>
    <t>East</t>
  </si>
  <si>
    <t>Eayo</t>
  </si>
  <si>
    <t>Packaging</t>
  </si>
  <si>
    <t>Paid Late</t>
  </si>
  <si>
    <t>Skinix</t>
  </si>
  <si>
    <t>Dynava</t>
  </si>
  <si>
    <t>South</t>
  </si>
  <si>
    <t>Youspan</t>
  </si>
  <si>
    <t>Kwideo</t>
  </si>
  <si>
    <t>Meembee</t>
  </si>
  <si>
    <t>Snaptags</t>
  </si>
  <si>
    <t>Photobean</t>
  </si>
  <si>
    <t>Youopia</t>
  </si>
  <si>
    <t>Skibox</t>
  </si>
  <si>
    <t>Rhyzio</t>
  </si>
  <si>
    <t>Devpulse</t>
  </si>
  <si>
    <t>Fivechat</t>
  </si>
  <si>
    <t>Livefish</t>
  </si>
  <si>
    <t>Viva</t>
  </si>
  <si>
    <t>Feedmix</t>
  </si>
  <si>
    <t>Riffpath</t>
  </si>
  <si>
    <t>Centimia</t>
  </si>
  <si>
    <t>Livetube</t>
  </si>
  <si>
    <t>Thoughtsphere</t>
  </si>
  <si>
    <t>Riffpedia</t>
  </si>
  <si>
    <t>Ozu</t>
  </si>
  <si>
    <t>Twitterbeat</t>
  </si>
  <si>
    <t>Fatz</t>
  </si>
  <si>
    <t>Flipopia</t>
  </si>
  <si>
    <t>Zoozzy</t>
  </si>
  <si>
    <t>Mydeo</t>
  </si>
  <si>
    <t>Voonte</t>
  </si>
  <si>
    <t>Camimbo</t>
  </si>
  <si>
    <t>Ooba</t>
  </si>
  <si>
    <t>Digitube</t>
  </si>
  <si>
    <t>Jayo</t>
  </si>
  <si>
    <t>Jaxspan</t>
  </si>
  <si>
    <t>Edgeify</t>
  </si>
  <si>
    <t>Browsedrive</t>
  </si>
  <si>
    <t>Tambee</t>
  </si>
  <si>
    <t>Vitz</t>
  </si>
  <si>
    <t>Shuffletag</t>
  </si>
  <si>
    <t>Vimbo</t>
  </si>
  <si>
    <t>Twitternation</t>
  </si>
  <si>
    <t>Abatz</t>
  </si>
  <si>
    <t>Kimia</t>
  </si>
  <si>
    <t>Jabberbean</t>
  </si>
  <si>
    <t>Lazz</t>
  </si>
  <si>
    <t>Eazzy</t>
  </si>
  <si>
    <t>Jaloo</t>
  </si>
  <si>
    <t>Skidoo</t>
  </si>
  <si>
    <t>Quamba</t>
  </si>
  <si>
    <t>Meetz</t>
  </si>
  <si>
    <t>Yodo</t>
  </si>
  <si>
    <t>Yodoo</t>
  </si>
  <si>
    <t>Oyondu</t>
  </si>
  <si>
    <t>Dabvine</t>
  </si>
  <si>
    <t>Zoomdog</t>
  </si>
  <si>
    <t>Realbuzz</t>
  </si>
  <si>
    <t>Innojam</t>
  </si>
  <si>
    <t>Tekfly</t>
  </si>
  <si>
    <t>Quaxo</t>
  </si>
  <si>
    <t>Babbleset</t>
  </si>
  <si>
    <t>Vipe</t>
  </si>
  <si>
    <t>Quinu</t>
  </si>
  <si>
    <t>Skaboo</t>
  </si>
  <si>
    <t>Mynte</t>
  </si>
  <si>
    <t>Thoughtbeat</t>
  </si>
  <si>
    <t>Meedoo</t>
  </si>
  <si>
    <t>Quimm</t>
  </si>
  <si>
    <t>Quatz</t>
  </si>
  <si>
    <t>Zoomlounge</t>
  </si>
  <si>
    <t>Meeveo</t>
  </si>
  <si>
    <t>Yambee</t>
  </si>
  <si>
    <t>Topiczoom</t>
  </si>
  <si>
    <t>Katz</t>
  </si>
  <si>
    <t>Avaveo</t>
  </si>
  <si>
    <t>Miboo</t>
  </si>
  <si>
    <t>Twinte</t>
  </si>
  <si>
    <t>Flashspan</t>
  </si>
  <si>
    <t>Mycat</t>
  </si>
  <si>
    <t>Rooxo</t>
  </si>
  <si>
    <t>Jabbersphere</t>
  </si>
  <si>
    <t>DabZ</t>
  </si>
  <si>
    <t>Chatterpoint</t>
  </si>
  <si>
    <t>Fliptune</t>
  </si>
  <si>
    <t>Latz</t>
  </si>
  <si>
    <t>Mybuzz</t>
  </si>
  <si>
    <t>Aibox</t>
  </si>
  <si>
    <t>Skalith</t>
  </si>
  <si>
    <t>Tagfeed</t>
  </si>
  <si>
    <t>Leenti</t>
  </si>
  <si>
    <t>Jabbercube</t>
  </si>
  <si>
    <t>Oyoba</t>
  </si>
  <si>
    <t>Zooveo</t>
  </si>
  <si>
    <t>Fadeo</t>
  </si>
  <si>
    <t>Devshare</t>
  </si>
  <si>
    <t>Jaxbean</t>
  </si>
  <si>
    <t>Eare</t>
  </si>
  <si>
    <t>Kwilith</t>
  </si>
  <si>
    <t>Pixonyx</t>
  </si>
  <si>
    <t>Flipstorm</t>
  </si>
  <si>
    <t>Tazzy</t>
  </si>
  <si>
    <t>Photospace</t>
  </si>
  <si>
    <t>Nlounge</t>
  </si>
  <si>
    <t>Youbridge</t>
  </si>
  <si>
    <t>Dablist</t>
  </si>
  <si>
    <t>Blogtags</t>
  </si>
  <si>
    <t>Flashpoint</t>
  </si>
  <si>
    <t>Kayveo</t>
  </si>
  <si>
    <t>Zooxo</t>
  </si>
  <si>
    <t>Reallinks</t>
  </si>
  <si>
    <t>Gigaclub</t>
  </si>
  <si>
    <t>Blogpad</t>
  </si>
  <si>
    <t>Dabfeed</t>
  </si>
  <si>
    <t>Rhynoodle</t>
  </si>
  <si>
    <t>Voolia</t>
  </si>
  <si>
    <t>Demivee</t>
  </si>
  <si>
    <t>Youfeed</t>
  </si>
  <si>
    <t>Cogidoo</t>
  </si>
  <si>
    <t>Realfire</t>
  </si>
  <si>
    <t>Mydo</t>
  </si>
  <si>
    <t>Skyvu</t>
  </si>
  <si>
    <t>Trupe</t>
  </si>
  <si>
    <t>Realcube</t>
  </si>
  <si>
    <t>Fiveclub</t>
  </si>
  <si>
    <t>Voonix</t>
  </si>
  <si>
    <t>Browsetype</t>
  </si>
  <si>
    <t>Pixope</t>
  </si>
  <si>
    <t>Midel</t>
  </si>
  <si>
    <t>Jetpulse</t>
  </si>
  <si>
    <t>Muxo</t>
  </si>
  <si>
    <t>Talane</t>
  </si>
  <si>
    <t>Demimbu</t>
  </si>
  <si>
    <t>Kwinu</t>
  </si>
  <si>
    <t>Dabshots</t>
  </si>
  <si>
    <t>Kazu</t>
  </si>
  <si>
    <t>Riffwire</t>
  </si>
  <si>
    <t>Blogtag</t>
  </si>
  <si>
    <t>Flipbug</t>
  </si>
  <si>
    <t>Topicshots</t>
  </si>
  <si>
    <t>Brightdog</t>
  </si>
  <si>
    <t>Centizu</t>
  </si>
  <si>
    <t>Edgeclub</t>
  </si>
  <si>
    <t>Oloo</t>
  </si>
  <si>
    <t>Babbleopia</t>
  </si>
  <si>
    <t>Babblestorm</t>
  </si>
  <si>
    <t>Devpoint</t>
  </si>
  <si>
    <t>Eadel</t>
  </si>
  <si>
    <t>Thoughtmix</t>
  </si>
  <si>
    <t>Buzzdog</t>
  </si>
  <si>
    <t>Livepath</t>
  </si>
  <si>
    <t>Photolist</t>
  </si>
  <si>
    <t>Eidel</t>
  </si>
  <si>
    <t>Plambee</t>
  </si>
  <si>
    <t>Gabcube</t>
  </si>
  <si>
    <t>Wikivu</t>
  </si>
  <si>
    <t>Cogilith</t>
  </si>
  <si>
    <t>Eamia</t>
  </si>
  <si>
    <t>Dabjam</t>
  </si>
  <si>
    <t>Teklist</t>
  </si>
  <si>
    <t>Row Labels</t>
  </si>
  <si>
    <t>Grand Total</t>
  </si>
  <si>
    <t>Feb</t>
  </si>
  <si>
    <t>Sum of Amount</t>
  </si>
  <si>
    <t>Count of Amount</t>
  </si>
  <si>
    <t>Count of Payment_Status</t>
  </si>
  <si>
    <t>Average of Delay_Days</t>
  </si>
  <si>
    <t>Jan</t>
  </si>
  <si>
    <t>Mar</t>
  </si>
  <si>
    <t>Apr</t>
  </si>
  <si>
    <t>May</t>
  </si>
  <si>
    <t>Jun</t>
  </si>
  <si>
    <t>Jul</t>
  </si>
  <si>
    <t>Aug</t>
  </si>
  <si>
    <t>Sep</t>
  </si>
  <si>
    <t>Oct</t>
  </si>
  <si>
    <t>Nov</t>
  </si>
  <si>
    <t>Dec</t>
  </si>
  <si>
    <t>1. Project Objective</t>
  </si>
  <si>
    <t>The purpose of this dashboard is to analyze organizational procurement spending patterns using structured transactional data.</t>
  </si>
  <si>
    <t>The dashboard provides visibility into total spend, vendor performance, category distribution, regional allocation, and payment efficiency to support data-driven financial and procurement decisions.</t>
  </si>
  <si>
    <t>2. Business Problem</t>
  </si>
  <si>
    <t>Organizations often lack centralized visibility into:</t>
  </si>
  <si>
    <t>Total procurement expenditure</t>
  </si>
  <si>
    <t>Category-level cost distribution</t>
  </si>
  <si>
    <t>Vendor concentration risks</t>
  </si>
  <si>
    <t>Regional spending patterns</t>
  </si>
  <si>
    <t>Payment delays and process inefficiencies</t>
  </si>
  <si>
    <t>This dashboard addresses these challenges by transforming raw transaction data into actionable business insights.</t>
  </si>
  <si>
    <t>3. Dataset Overview</t>
  </si>
  <si>
    <t>The dataset consists of mock procurement transaction data with the following fields:</t>
  </si>
  <si>
    <r>
      <t>Vendor</t>
    </r>
    <r>
      <rPr>
        <sz val="11"/>
        <color theme="1"/>
        <rFont val="Calibri"/>
        <family val="2"/>
        <scheme val="minor"/>
      </rPr>
      <t xml:space="preserve"> – Supplier providing goods or services</t>
    </r>
  </si>
  <si>
    <r>
      <t>Month</t>
    </r>
    <r>
      <rPr>
        <sz val="11"/>
        <color theme="1"/>
        <rFont val="Calibri"/>
        <family val="2"/>
        <scheme val="minor"/>
      </rPr>
      <t xml:space="preserve"> – Transaction month</t>
    </r>
  </si>
  <si>
    <r>
      <t>Category</t>
    </r>
    <r>
      <rPr>
        <sz val="11"/>
        <color theme="1"/>
        <rFont val="Calibri"/>
        <family val="2"/>
        <scheme val="minor"/>
      </rPr>
      <t xml:space="preserve"> – Type of procurement spend</t>
    </r>
  </si>
  <si>
    <r>
      <t>Amount</t>
    </r>
    <r>
      <rPr>
        <sz val="11"/>
        <color theme="1"/>
        <rFont val="Calibri"/>
        <family val="2"/>
        <scheme val="minor"/>
      </rPr>
      <t xml:space="preserve"> – Payment amount</t>
    </r>
  </si>
  <si>
    <r>
      <t>Payment Status</t>
    </r>
    <r>
      <rPr>
        <sz val="11"/>
        <color theme="1"/>
        <rFont val="Calibri"/>
        <family val="2"/>
        <scheme val="minor"/>
      </rPr>
      <t xml:space="preserve"> – On Time / Late</t>
    </r>
  </si>
  <si>
    <r>
      <t>Delay Days</t>
    </r>
    <r>
      <rPr>
        <sz val="11"/>
        <color theme="1"/>
        <rFont val="Calibri"/>
        <family val="2"/>
        <scheme val="minor"/>
      </rPr>
      <t xml:space="preserve"> – Number of days payment was delayed</t>
    </r>
  </si>
  <si>
    <r>
      <t>Region</t>
    </r>
    <r>
      <rPr>
        <sz val="11"/>
        <color theme="1"/>
        <rFont val="Calibri"/>
        <family val="2"/>
        <scheme val="minor"/>
      </rPr>
      <t xml:space="preserve"> – Geographic location of transaction</t>
    </r>
  </si>
  <si>
    <t>The data was structured and aggregated using Excel Pivot Tables to generate KPIs and visual insights.</t>
  </si>
  <si>
    <t>4. Key KPIs Included</t>
  </si>
  <si>
    <t>The dashboard includes the following performance indicators:</t>
  </si>
  <si>
    <r>
      <t>Total Spend</t>
    </r>
    <r>
      <rPr>
        <sz val="11"/>
        <color theme="1"/>
        <rFont val="Calibri"/>
        <family val="2"/>
        <scheme val="minor"/>
      </rPr>
      <t xml:space="preserve"> – Overall procurement expenditure</t>
    </r>
  </si>
  <si>
    <r>
      <t>Spend by Category</t>
    </r>
    <r>
      <rPr>
        <sz val="11"/>
        <color theme="1"/>
        <rFont val="Calibri"/>
        <family val="2"/>
        <scheme val="minor"/>
      </rPr>
      <t xml:space="preserve"> – Distribution of spend across procurement categories</t>
    </r>
  </si>
  <si>
    <r>
      <t>Spend by Region</t>
    </r>
    <r>
      <rPr>
        <sz val="11"/>
        <color theme="1"/>
        <rFont val="Calibri"/>
        <family val="2"/>
        <scheme val="minor"/>
      </rPr>
      <t xml:space="preserve"> – Geographic allocation of spending</t>
    </r>
  </si>
  <si>
    <r>
      <t>Top Vendors by Spend</t>
    </r>
    <r>
      <rPr>
        <sz val="11"/>
        <color theme="1"/>
        <rFont val="Calibri"/>
        <family val="2"/>
        <scheme val="minor"/>
      </rPr>
      <t xml:space="preserve"> – Vendor concentration analysis</t>
    </r>
  </si>
  <si>
    <r>
      <t>Payment Status Breakdown</t>
    </r>
    <r>
      <rPr>
        <sz val="11"/>
        <color theme="1"/>
        <rFont val="Calibri"/>
        <family val="2"/>
        <scheme val="minor"/>
      </rPr>
      <t xml:space="preserve"> – On-time vs Late payments</t>
    </r>
  </si>
  <si>
    <r>
      <t>Average Delay Days</t>
    </r>
    <r>
      <rPr>
        <sz val="11"/>
        <color theme="1"/>
        <rFont val="Calibri"/>
        <family val="2"/>
        <scheme val="minor"/>
      </rPr>
      <t xml:space="preserve"> – Measurement of payment efficiency</t>
    </r>
  </si>
  <si>
    <r>
      <t>Monthly Spend Trend</t>
    </r>
    <r>
      <rPr>
        <sz val="11"/>
        <color theme="1"/>
        <rFont val="Calibri"/>
        <family val="2"/>
        <scheme val="minor"/>
      </rPr>
      <t xml:space="preserve"> – Trend analysis across time</t>
    </r>
  </si>
  <si>
    <t>5. Key Insights</t>
  </si>
  <si>
    <t>High concentration of spend within specific categories indicates potential cost optimization opportunities.</t>
  </si>
  <si>
    <t>Vendor spend distribution highlights potential dependency risks.</t>
  </si>
  <si>
    <t>Payment delay analysis reveals areas for improvement in accounts payable processes.</t>
  </si>
  <si>
    <t>Monthly trend patterns help identify seasonality or unusual spending spikes.</t>
  </si>
  <si>
    <t>6. Business Value Delivered</t>
  </si>
  <si>
    <t>This dashboard supports:</t>
  </si>
  <si>
    <t>Budget monitoring and cost control</t>
  </si>
  <si>
    <t>Vendor performance evaluation</t>
  </si>
  <si>
    <t>Risk identification in supplier concentration</t>
  </si>
  <si>
    <t>Improvement of payment cycle efficiency</t>
  </si>
  <si>
    <t>Strategic procurement planning</t>
  </si>
  <si>
    <t>7. Tools &amp; Techniques Used</t>
  </si>
  <si>
    <t>Microsoft Excel</t>
  </si>
  <si>
    <t>Pivot Tables</t>
  </si>
  <si>
    <t>Data Aggregation</t>
  </si>
  <si>
    <t>KPI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</si>
</sst>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colors>
    <mruColors>
      <color rgb="FF9900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 Analysis Dashboard.xlsx]Pivot Table!PivotTable4</c:name>
    <c:fmtId val="9"/>
  </c:pivotSource>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Table'!$H$3</c:f>
              <c:strCache>
                <c:ptCount val="1"/>
                <c:pt idx="0">
                  <c:v>Total</c:v>
                </c:pt>
              </c:strCache>
            </c:strRef>
          </c:tx>
          <c:spPr>
            <a:solidFill>
              <a:schemeClr val="accent1"/>
            </a:solidFill>
            <a:ln>
              <a:noFill/>
            </a:ln>
            <a:effectLst/>
            <a:sp3d/>
          </c:spPr>
          <c:invertIfNegative val="0"/>
          <c:cat>
            <c:strRef>
              <c:f>'Pivot Table'!$G$4:$G$8</c:f>
              <c:strCache>
                <c:ptCount val="4"/>
                <c:pt idx="0">
                  <c:v>East</c:v>
                </c:pt>
                <c:pt idx="1">
                  <c:v>North</c:v>
                </c:pt>
                <c:pt idx="2">
                  <c:v>South</c:v>
                </c:pt>
                <c:pt idx="3">
                  <c:v>West</c:v>
                </c:pt>
              </c:strCache>
            </c:strRef>
          </c:cat>
          <c:val>
            <c:numRef>
              <c:f>'Pivot Table'!$H$4:$H$8</c:f>
              <c:numCache>
                <c:formatCode>General</c:formatCode>
                <c:ptCount val="4"/>
                <c:pt idx="0">
                  <c:v>5830838</c:v>
                </c:pt>
                <c:pt idx="1">
                  <c:v>7194843</c:v>
                </c:pt>
                <c:pt idx="2">
                  <c:v>6647105</c:v>
                </c:pt>
                <c:pt idx="3">
                  <c:v>6287026</c:v>
                </c:pt>
              </c:numCache>
            </c:numRef>
          </c:val>
          <c:extLst>
            <c:ext xmlns:c16="http://schemas.microsoft.com/office/drawing/2014/chart" uri="{C3380CC4-5D6E-409C-BE32-E72D297353CC}">
              <c16:uniqueId val="{00000000-DB9F-4A9F-9646-ECFE48553A9F}"/>
            </c:ext>
          </c:extLst>
        </c:ser>
        <c:dLbls>
          <c:showLegendKey val="0"/>
          <c:showVal val="0"/>
          <c:showCatName val="0"/>
          <c:showSerName val="0"/>
          <c:showPercent val="0"/>
          <c:showBubbleSize val="0"/>
        </c:dLbls>
        <c:gapWidth val="150"/>
        <c:shape val="box"/>
        <c:axId val="706512063"/>
        <c:axId val="706511583"/>
        <c:axId val="0"/>
      </c:bar3DChart>
      <c:catAx>
        <c:axId val="70651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11583"/>
        <c:crosses val="autoZero"/>
        <c:auto val="1"/>
        <c:lblAlgn val="ctr"/>
        <c:lblOffset val="100"/>
        <c:noMultiLvlLbl val="0"/>
      </c:catAx>
      <c:valAx>
        <c:axId val="70651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1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 Analysis Dashboard.xlsx]Pivot Table!PivotTable5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solidFill>
              <a:schemeClr val="accent1"/>
            </a:solidFill>
            <a:ln>
              <a:noFill/>
            </a:ln>
            <a:effectLst/>
          </c:spP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1647713</c:v>
                </c:pt>
                <c:pt idx="1">
                  <c:v>2170215</c:v>
                </c:pt>
                <c:pt idx="2">
                  <c:v>2805690</c:v>
                </c:pt>
                <c:pt idx="3">
                  <c:v>959522</c:v>
                </c:pt>
                <c:pt idx="4">
                  <c:v>2129761</c:v>
                </c:pt>
                <c:pt idx="5">
                  <c:v>3071476</c:v>
                </c:pt>
                <c:pt idx="6">
                  <c:v>1857533</c:v>
                </c:pt>
                <c:pt idx="7">
                  <c:v>3166804</c:v>
                </c:pt>
                <c:pt idx="8">
                  <c:v>1871326</c:v>
                </c:pt>
                <c:pt idx="9">
                  <c:v>2118248</c:v>
                </c:pt>
                <c:pt idx="10">
                  <c:v>2119840</c:v>
                </c:pt>
                <c:pt idx="11">
                  <c:v>2041684</c:v>
                </c:pt>
              </c:numCache>
            </c:numRef>
          </c:val>
          <c:extLst>
            <c:ext xmlns:c16="http://schemas.microsoft.com/office/drawing/2014/chart" uri="{C3380CC4-5D6E-409C-BE32-E72D297353CC}">
              <c16:uniqueId val="{00000000-06C1-4CB9-A3DB-29DE73BE7A2A}"/>
            </c:ext>
          </c:extLst>
        </c:ser>
        <c:dLbls>
          <c:showLegendKey val="0"/>
          <c:showVal val="0"/>
          <c:showCatName val="0"/>
          <c:showSerName val="0"/>
          <c:showPercent val="0"/>
          <c:showBubbleSize val="0"/>
        </c:dLbls>
        <c:axId val="706285551"/>
        <c:axId val="706286991"/>
      </c:areaChart>
      <c:catAx>
        <c:axId val="70628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286991"/>
        <c:crosses val="autoZero"/>
        <c:auto val="1"/>
        <c:lblAlgn val="ctr"/>
        <c:lblOffset val="100"/>
        <c:noMultiLvlLbl val="0"/>
      </c:catAx>
      <c:valAx>
        <c:axId val="70628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285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 Analysis Dashboard.xlsx]Pivot Table!PivotTable6</c:name>
    <c:fmtId val="4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1010354890230356E-17"/>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pivotFmt>
      <c:pivotFmt>
        <c:idx val="5"/>
        <c:spPr>
          <a:solidFill>
            <a:schemeClr val="accent1"/>
          </a:solidFill>
          <a:ln>
            <a:noFill/>
          </a:ln>
          <a:effectLst/>
          <a:sp3d/>
        </c:spPr>
        <c:dLbl>
          <c:idx val="0"/>
          <c:layout>
            <c:manualLayout>
              <c:x val="-1.0202070978046071E-16"/>
              <c:y val="-8.1632653061224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Table'!$N$3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649D-4CFA-9047-AC6E8C0D6C9B}"/>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3-649D-4CFA-9047-AC6E8C0D6C9B}"/>
              </c:ext>
            </c:extLst>
          </c:dPt>
          <c:dLbls>
            <c:dLbl>
              <c:idx val="0"/>
              <c:layout>
                <c:manualLayout>
                  <c:x val="-5.1010354890230356E-17"/>
                  <c:y val="-6.802721088435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9D-4CFA-9047-AC6E8C0D6C9B}"/>
                </c:ext>
              </c:extLst>
            </c:dLbl>
            <c:dLbl>
              <c:idx val="2"/>
              <c:layout>
                <c:manualLayout>
                  <c:x val="-1.0202070978046071E-16"/>
                  <c:y val="-8.16326530612245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9D-4CFA-9047-AC6E8C0D6C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Table'!$M$4:$M$7</c:f>
              <c:strCache>
                <c:ptCount val="3"/>
                <c:pt idx="0">
                  <c:v>Maintenance</c:v>
                </c:pt>
                <c:pt idx="1">
                  <c:v>Packaging</c:v>
                </c:pt>
                <c:pt idx="2">
                  <c:v>Raw Materials</c:v>
                </c:pt>
              </c:strCache>
            </c:strRef>
          </c:cat>
          <c:val>
            <c:numRef>
              <c:f>'Pivot Table'!$N$4:$N$7</c:f>
              <c:numCache>
                <c:formatCode>General</c:formatCode>
                <c:ptCount val="3"/>
                <c:pt idx="0">
                  <c:v>11102391</c:v>
                </c:pt>
                <c:pt idx="1">
                  <c:v>7219064</c:v>
                </c:pt>
                <c:pt idx="2">
                  <c:v>7638357</c:v>
                </c:pt>
              </c:numCache>
            </c:numRef>
          </c:val>
          <c:extLst>
            <c:ext xmlns:c16="http://schemas.microsoft.com/office/drawing/2014/chart" uri="{C3380CC4-5D6E-409C-BE32-E72D297353CC}">
              <c16:uniqueId val="{00000000-6707-44C6-BD3A-2D8898997075}"/>
            </c:ext>
          </c:extLst>
        </c:ser>
        <c:dLbls>
          <c:showLegendKey val="0"/>
          <c:showVal val="1"/>
          <c:showCatName val="0"/>
          <c:showSerName val="0"/>
          <c:showPercent val="0"/>
          <c:showBubbleSize val="0"/>
        </c:dLbls>
        <c:gapWidth val="150"/>
        <c:shape val="box"/>
        <c:axId val="286023455"/>
        <c:axId val="935241471"/>
        <c:axId val="929551087"/>
      </c:bar3DChart>
      <c:catAx>
        <c:axId val="2860234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41471"/>
        <c:crosses val="autoZero"/>
        <c:auto val="1"/>
        <c:lblAlgn val="ctr"/>
        <c:lblOffset val="100"/>
        <c:noMultiLvlLbl val="0"/>
      </c:catAx>
      <c:valAx>
        <c:axId val="935241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023455"/>
        <c:crosses val="autoZero"/>
        <c:crossBetween val="between"/>
      </c:valAx>
      <c:serAx>
        <c:axId val="92955108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414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 Analysis Dashboard.xlsx]Pivot Table!PivotTable4</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Table'!$H$3</c:f>
              <c:strCache>
                <c:ptCount val="1"/>
                <c:pt idx="0">
                  <c:v>Total</c:v>
                </c:pt>
              </c:strCache>
            </c:strRef>
          </c:tx>
          <c:spPr>
            <a:solidFill>
              <a:schemeClr val="accent1"/>
            </a:solidFill>
            <a:ln>
              <a:noFill/>
            </a:ln>
            <a:effectLst/>
            <a:sp3d/>
          </c:spPr>
          <c:invertIfNegative val="0"/>
          <c:cat>
            <c:strRef>
              <c:f>'Pivot Table'!$G$4:$G$8</c:f>
              <c:strCache>
                <c:ptCount val="4"/>
                <c:pt idx="0">
                  <c:v>East</c:v>
                </c:pt>
                <c:pt idx="1">
                  <c:v>North</c:v>
                </c:pt>
                <c:pt idx="2">
                  <c:v>South</c:v>
                </c:pt>
                <c:pt idx="3">
                  <c:v>West</c:v>
                </c:pt>
              </c:strCache>
            </c:strRef>
          </c:cat>
          <c:val>
            <c:numRef>
              <c:f>'Pivot Table'!$H$4:$H$8</c:f>
              <c:numCache>
                <c:formatCode>General</c:formatCode>
                <c:ptCount val="4"/>
                <c:pt idx="0">
                  <c:v>5830838</c:v>
                </c:pt>
                <c:pt idx="1">
                  <c:v>7194843</c:v>
                </c:pt>
                <c:pt idx="2">
                  <c:v>6647105</c:v>
                </c:pt>
                <c:pt idx="3">
                  <c:v>6287026</c:v>
                </c:pt>
              </c:numCache>
            </c:numRef>
          </c:val>
          <c:extLst>
            <c:ext xmlns:c16="http://schemas.microsoft.com/office/drawing/2014/chart" uri="{C3380CC4-5D6E-409C-BE32-E72D297353CC}">
              <c16:uniqueId val="{00000000-20A8-41E9-ABEB-8C1600BB23DB}"/>
            </c:ext>
          </c:extLst>
        </c:ser>
        <c:dLbls>
          <c:showLegendKey val="0"/>
          <c:showVal val="0"/>
          <c:showCatName val="0"/>
          <c:showSerName val="0"/>
          <c:showPercent val="0"/>
          <c:showBubbleSize val="0"/>
        </c:dLbls>
        <c:gapWidth val="150"/>
        <c:shape val="box"/>
        <c:axId val="706512063"/>
        <c:axId val="706511583"/>
        <c:axId val="0"/>
      </c:bar3DChart>
      <c:catAx>
        <c:axId val="70651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11583"/>
        <c:crosses val="autoZero"/>
        <c:auto val="1"/>
        <c:lblAlgn val="ctr"/>
        <c:lblOffset val="100"/>
        <c:noMultiLvlLbl val="0"/>
      </c:catAx>
      <c:valAx>
        <c:axId val="70651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1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 Analysis Dashboard.xlsx]Pivot Table!PivotTable5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solidFill>
              <a:schemeClr val="accent1"/>
            </a:solidFill>
            <a:ln>
              <a:noFill/>
            </a:ln>
            <a:effectLst/>
          </c:spP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1647713</c:v>
                </c:pt>
                <c:pt idx="1">
                  <c:v>2170215</c:v>
                </c:pt>
                <c:pt idx="2">
                  <c:v>2805690</c:v>
                </c:pt>
                <c:pt idx="3">
                  <c:v>959522</c:v>
                </c:pt>
                <c:pt idx="4">
                  <c:v>2129761</c:v>
                </c:pt>
                <c:pt idx="5">
                  <c:v>3071476</c:v>
                </c:pt>
                <c:pt idx="6">
                  <c:v>1857533</c:v>
                </c:pt>
                <c:pt idx="7">
                  <c:v>3166804</c:v>
                </c:pt>
                <c:pt idx="8">
                  <c:v>1871326</c:v>
                </c:pt>
                <c:pt idx="9">
                  <c:v>2118248</c:v>
                </c:pt>
                <c:pt idx="10">
                  <c:v>2119840</c:v>
                </c:pt>
                <c:pt idx="11">
                  <c:v>2041684</c:v>
                </c:pt>
              </c:numCache>
            </c:numRef>
          </c:val>
          <c:extLst>
            <c:ext xmlns:c16="http://schemas.microsoft.com/office/drawing/2014/chart" uri="{C3380CC4-5D6E-409C-BE32-E72D297353CC}">
              <c16:uniqueId val="{00000000-C2EC-4332-9A6A-CC22779FA3C8}"/>
            </c:ext>
          </c:extLst>
        </c:ser>
        <c:dLbls>
          <c:showLegendKey val="0"/>
          <c:showVal val="0"/>
          <c:showCatName val="0"/>
          <c:showSerName val="0"/>
          <c:showPercent val="0"/>
          <c:showBubbleSize val="0"/>
        </c:dLbls>
        <c:axId val="706285551"/>
        <c:axId val="706286991"/>
      </c:areaChart>
      <c:catAx>
        <c:axId val="70628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286991"/>
        <c:crosses val="autoZero"/>
        <c:auto val="1"/>
        <c:lblAlgn val="ctr"/>
        <c:lblOffset val="100"/>
        <c:noMultiLvlLbl val="0"/>
      </c:catAx>
      <c:valAx>
        <c:axId val="70628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285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 Analysis Dashboard.xlsx]Pivot Table!PivotTable6</c:name>
    <c:fmtId val="4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Table'!$N$3</c:f>
              <c:strCache>
                <c:ptCount val="1"/>
                <c:pt idx="0">
                  <c:v>Total</c:v>
                </c:pt>
              </c:strCache>
            </c:strRef>
          </c:tx>
          <c:spPr>
            <a:solidFill>
              <a:schemeClr val="accent1"/>
            </a:solidFill>
            <a:ln>
              <a:noFill/>
            </a:ln>
            <a:effectLst/>
            <a:sp3d/>
          </c:spPr>
          <c:invertIfNegative val="0"/>
          <c:cat>
            <c:strRef>
              <c:f>'Pivot Table'!$M$4:$M$7</c:f>
              <c:strCache>
                <c:ptCount val="3"/>
                <c:pt idx="0">
                  <c:v>Maintenance</c:v>
                </c:pt>
                <c:pt idx="1">
                  <c:v>Packaging</c:v>
                </c:pt>
                <c:pt idx="2">
                  <c:v>Raw Materials</c:v>
                </c:pt>
              </c:strCache>
            </c:strRef>
          </c:cat>
          <c:val>
            <c:numRef>
              <c:f>'Pivot Table'!$N$4:$N$7</c:f>
              <c:numCache>
                <c:formatCode>General</c:formatCode>
                <c:ptCount val="3"/>
                <c:pt idx="0">
                  <c:v>11102391</c:v>
                </c:pt>
                <c:pt idx="1">
                  <c:v>7219064</c:v>
                </c:pt>
                <c:pt idx="2">
                  <c:v>7638357</c:v>
                </c:pt>
              </c:numCache>
            </c:numRef>
          </c:val>
          <c:extLst>
            <c:ext xmlns:c16="http://schemas.microsoft.com/office/drawing/2014/chart" uri="{C3380CC4-5D6E-409C-BE32-E72D297353CC}">
              <c16:uniqueId val="{00000000-D990-400D-9C3A-0BE3BE99E23B}"/>
            </c:ext>
          </c:extLst>
        </c:ser>
        <c:dLbls>
          <c:showLegendKey val="0"/>
          <c:showVal val="0"/>
          <c:showCatName val="0"/>
          <c:showSerName val="0"/>
          <c:showPercent val="0"/>
          <c:showBubbleSize val="0"/>
        </c:dLbls>
        <c:gapWidth val="150"/>
        <c:shape val="box"/>
        <c:axId val="286023455"/>
        <c:axId val="935241471"/>
        <c:axId val="929551087"/>
      </c:bar3DChart>
      <c:catAx>
        <c:axId val="286023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41471"/>
        <c:crosses val="autoZero"/>
        <c:auto val="1"/>
        <c:lblAlgn val="ctr"/>
        <c:lblOffset val="100"/>
        <c:noMultiLvlLbl val="0"/>
      </c:catAx>
      <c:valAx>
        <c:axId val="93524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023455"/>
        <c:crosses val="autoZero"/>
        <c:crossBetween val="between"/>
      </c:valAx>
      <c:serAx>
        <c:axId val="929551087"/>
        <c:scaling>
          <c:orientation val="minMax"/>
        </c:scaling>
        <c:delete val="1"/>
        <c:axPos val="b"/>
        <c:majorTickMark val="none"/>
        <c:minorTickMark val="none"/>
        <c:tickLblPos val="nextTo"/>
        <c:crossAx val="9352414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9.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8.svg"/><Relationship Id="rId5" Type="http://schemas.openxmlformats.org/officeDocument/2006/relationships/chart" Target="../charts/chart1.xml"/><Relationship Id="rId10" Type="http://schemas.openxmlformats.org/officeDocument/2006/relationships/image" Target="../media/image7.png"/><Relationship Id="rId4" Type="http://schemas.openxmlformats.org/officeDocument/2006/relationships/image" Target="../media/image4.sv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243840</xdr:colOff>
      <xdr:row>0</xdr:row>
      <xdr:rowOff>152400</xdr:rowOff>
    </xdr:from>
    <xdr:to>
      <xdr:col>22</xdr:col>
      <xdr:colOff>495300</xdr:colOff>
      <xdr:row>34</xdr:row>
      <xdr:rowOff>106680</xdr:rowOff>
    </xdr:to>
    <xdr:sp macro="" textlink="">
      <xdr:nvSpPr>
        <xdr:cNvPr id="2" name="Rectangle: Rounded Corners 1">
          <a:extLst>
            <a:ext uri="{FF2B5EF4-FFF2-40B4-BE49-F238E27FC236}">
              <a16:creationId xmlns:a16="http://schemas.microsoft.com/office/drawing/2014/main" id="{6C838EC5-8232-DB91-C48E-C607A294E364}"/>
            </a:ext>
          </a:extLst>
        </xdr:cNvPr>
        <xdr:cNvSpPr/>
      </xdr:nvSpPr>
      <xdr:spPr>
        <a:xfrm>
          <a:off x="243840" y="152400"/>
          <a:ext cx="13662660" cy="6172200"/>
        </a:xfrm>
        <a:prstGeom prst="roundRect">
          <a:avLst>
            <a:gd name="adj" fmla="val 1756"/>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4</xdr:col>
      <xdr:colOff>167640</xdr:colOff>
      <xdr:row>1</xdr:row>
      <xdr:rowOff>160020</xdr:rowOff>
    </xdr:from>
    <xdr:to>
      <xdr:col>22</xdr:col>
      <xdr:colOff>224194</xdr:colOff>
      <xdr:row>34</xdr:row>
      <xdr:rowOff>84931</xdr:rowOff>
    </xdr:to>
    <xdr:sp macro="" textlink="">
      <xdr:nvSpPr>
        <xdr:cNvPr id="3" name="Rectangle: Rounded Corners 2">
          <a:extLst>
            <a:ext uri="{FF2B5EF4-FFF2-40B4-BE49-F238E27FC236}">
              <a16:creationId xmlns:a16="http://schemas.microsoft.com/office/drawing/2014/main" id="{BC045D3D-3247-A1DF-4E8B-41E2AEE51DA8}"/>
            </a:ext>
          </a:extLst>
        </xdr:cNvPr>
        <xdr:cNvSpPr/>
      </xdr:nvSpPr>
      <xdr:spPr>
        <a:xfrm>
          <a:off x="2606040" y="342900"/>
          <a:ext cx="11029354" cy="5959951"/>
        </a:xfrm>
        <a:prstGeom prst="roundRect">
          <a:avLst>
            <a:gd name="adj" fmla="val 1756"/>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312420</xdr:colOff>
      <xdr:row>2</xdr:row>
      <xdr:rowOff>68580</xdr:rowOff>
    </xdr:from>
    <xdr:to>
      <xdr:col>14</xdr:col>
      <xdr:colOff>426720</xdr:colOff>
      <xdr:row>8</xdr:row>
      <xdr:rowOff>152400</xdr:rowOff>
    </xdr:to>
    <mc:AlternateContent xmlns:mc="http://schemas.openxmlformats.org/markup-compatibility/2006" xmlns:tsle="http://schemas.microsoft.com/office/drawing/2012/timeslicer">
      <mc:Choice Requires="tsle">
        <xdr:graphicFrame macro="">
          <xdr:nvGraphicFramePr>
            <xdr:cNvPr id="5" name="Month 1">
              <a:extLst>
                <a:ext uri="{FF2B5EF4-FFF2-40B4-BE49-F238E27FC236}">
                  <a16:creationId xmlns:a16="http://schemas.microsoft.com/office/drawing/2014/main" id="{939F528A-58CB-40F8-A3C8-D56EF3587857}"/>
                </a:ext>
              </a:extLst>
            </xdr:cNvPr>
            <xdr:cNvGraphicFramePr/>
          </xdr:nvGraphicFramePr>
          <xdr:xfrm>
            <a:off x="0" y="0"/>
            <a:ext cx="0" cy="0"/>
          </xdr:xfrm>
          <a:graphic>
            <a:graphicData uri="http://schemas.microsoft.com/office/drawing/2012/timeslicer">
              <tsle:timeslicer name="Month 1"/>
            </a:graphicData>
          </a:graphic>
        </xdr:graphicFrame>
      </mc:Choice>
      <mc:Fallback xmlns="">
        <xdr:sp macro="" textlink="">
          <xdr:nvSpPr>
            <xdr:cNvPr id="0" name=""/>
            <xdr:cNvSpPr>
              <a:spLocks noTextEdit="1"/>
            </xdr:cNvSpPr>
          </xdr:nvSpPr>
          <xdr:spPr>
            <a:xfrm>
              <a:off x="2750820" y="434340"/>
              <a:ext cx="621030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586740</xdr:colOff>
      <xdr:row>2</xdr:row>
      <xdr:rowOff>76200</xdr:rowOff>
    </xdr:from>
    <xdr:to>
      <xdr:col>21</xdr:col>
      <xdr:colOff>502920</xdr:colOff>
      <xdr:row>8</xdr:row>
      <xdr:rowOff>137160</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CCEE2D0F-51BF-4F67-96FF-44B5BA1415F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121140" y="441960"/>
              <a:ext cx="418338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358140</xdr:colOff>
      <xdr:row>7</xdr:row>
      <xdr:rowOff>22860</xdr:rowOff>
    </xdr:from>
    <xdr:to>
      <xdr:col>4</xdr:col>
      <xdr:colOff>76200</xdr:colOff>
      <xdr:row>11</xdr:row>
      <xdr:rowOff>0</xdr:rowOff>
    </xdr:to>
    <xdr:sp macro="" textlink="">
      <xdr:nvSpPr>
        <xdr:cNvPr id="8" name="Rectangle: Rounded Corners 7">
          <a:extLst>
            <a:ext uri="{FF2B5EF4-FFF2-40B4-BE49-F238E27FC236}">
              <a16:creationId xmlns:a16="http://schemas.microsoft.com/office/drawing/2014/main" id="{A2408CD3-5E52-DF63-74F2-196B2780D78D}"/>
            </a:ext>
          </a:extLst>
        </xdr:cNvPr>
        <xdr:cNvSpPr/>
      </xdr:nvSpPr>
      <xdr:spPr>
        <a:xfrm>
          <a:off x="358140" y="1303020"/>
          <a:ext cx="2156460" cy="708660"/>
        </a:xfrm>
        <a:prstGeom prst="roundRect">
          <a:avLst>
            <a:gd name="adj" fmla="val 50000"/>
          </a:avLst>
        </a:prstGeom>
        <a:solidFill>
          <a:schemeClr val="bg1"/>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1">
                  <a:lumMod val="50000"/>
                </a:schemeClr>
              </a:solidFill>
            </a:rPr>
            <a:t>Dashboard</a:t>
          </a:r>
          <a:endParaRPr lang="en-IN" sz="1100" b="1">
            <a:solidFill>
              <a:schemeClr val="accent1">
                <a:lumMod val="50000"/>
              </a:schemeClr>
            </a:solidFill>
          </a:endParaRPr>
        </a:p>
      </xdr:txBody>
    </xdr:sp>
    <xdr:clientData/>
  </xdr:twoCellAnchor>
  <xdr:twoCellAnchor>
    <xdr:from>
      <xdr:col>0</xdr:col>
      <xdr:colOff>373380</xdr:colOff>
      <xdr:row>18</xdr:row>
      <xdr:rowOff>30480</xdr:rowOff>
    </xdr:from>
    <xdr:to>
      <xdr:col>4</xdr:col>
      <xdr:colOff>91440</xdr:colOff>
      <xdr:row>22</xdr:row>
      <xdr:rowOff>7620</xdr:rowOff>
    </xdr:to>
    <xdr:sp macro="" textlink="">
      <xdr:nvSpPr>
        <xdr:cNvPr id="12" name="Rectangle: Rounded Corners 8">
          <a:extLst>
            <a:ext uri="{FF2B5EF4-FFF2-40B4-BE49-F238E27FC236}">
              <a16:creationId xmlns:a16="http://schemas.microsoft.com/office/drawing/2014/main" id="{82EAD4D6-C275-AA68-8D71-598A02C4787B}"/>
            </a:ext>
          </a:extLst>
        </xdr:cNvPr>
        <xdr:cNvSpPr/>
      </xdr:nvSpPr>
      <xdr:spPr>
        <a:xfrm>
          <a:off x="373380" y="3322320"/>
          <a:ext cx="2156460" cy="708660"/>
        </a:xfrm>
        <a:prstGeom prst="roundRect">
          <a:avLst>
            <a:gd name="adj" fmla="val 50000"/>
          </a:avLst>
        </a:prstGeom>
        <a:noFill/>
        <a:ln w="2857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About</a:t>
          </a:r>
          <a:r>
            <a:rPr lang="en-IN" sz="2000">
              <a:solidFill>
                <a:schemeClr val="bg1"/>
              </a:solidFill>
            </a:rPr>
            <a:t> </a:t>
          </a:r>
          <a:r>
            <a:rPr lang="en-IN" sz="2000" b="1">
              <a:solidFill>
                <a:schemeClr val="bg1"/>
              </a:solidFill>
            </a:rPr>
            <a:t>us</a:t>
          </a:r>
        </a:p>
      </xdr:txBody>
    </xdr:sp>
    <xdr:clientData/>
  </xdr:twoCellAnchor>
  <xdr:twoCellAnchor>
    <xdr:from>
      <xdr:col>0</xdr:col>
      <xdr:colOff>373380</xdr:colOff>
      <xdr:row>12</xdr:row>
      <xdr:rowOff>106680</xdr:rowOff>
    </xdr:from>
    <xdr:to>
      <xdr:col>4</xdr:col>
      <xdr:colOff>91440</xdr:colOff>
      <xdr:row>16</xdr:row>
      <xdr:rowOff>83820</xdr:rowOff>
    </xdr:to>
    <xdr:sp macro="" textlink="">
      <xdr:nvSpPr>
        <xdr:cNvPr id="11" name="Rectangle: Rounded Corners 9">
          <a:extLst>
            <a:ext uri="{FF2B5EF4-FFF2-40B4-BE49-F238E27FC236}">
              <a16:creationId xmlns:a16="http://schemas.microsoft.com/office/drawing/2014/main" id="{A6656B0E-8142-6CDC-AA5B-730BFB41D700}"/>
            </a:ext>
          </a:extLst>
        </xdr:cNvPr>
        <xdr:cNvSpPr/>
      </xdr:nvSpPr>
      <xdr:spPr>
        <a:xfrm>
          <a:off x="373380" y="2301240"/>
          <a:ext cx="2156460" cy="708660"/>
        </a:xfrm>
        <a:prstGeom prst="roundRect">
          <a:avLst>
            <a:gd name="adj" fmla="val 50000"/>
          </a:avLst>
        </a:prstGeom>
        <a:noFill/>
        <a:ln w="2857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Reports</a:t>
          </a:r>
        </a:p>
      </xdr:txBody>
    </xdr:sp>
    <xdr:clientData/>
  </xdr:twoCellAnchor>
  <xdr:twoCellAnchor editAs="oneCell">
    <xdr:from>
      <xdr:col>13</xdr:col>
      <xdr:colOff>152400</xdr:colOff>
      <xdr:row>9</xdr:row>
      <xdr:rowOff>83821</xdr:rowOff>
    </xdr:from>
    <xdr:to>
      <xdr:col>21</xdr:col>
      <xdr:colOff>495300</xdr:colOff>
      <xdr:row>13</xdr:row>
      <xdr:rowOff>25909</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D78C1716-AC52-40CC-B819-8A2841B1FB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077200" y="1729741"/>
              <a:ext cx="5219700" cy="673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304800</xdr:colOff>
      <xdr:row>16</xdr:row>
      <xdr:rowOff>152400</xdr:rowOff>
    </xdr:from>
    <xdr:to>
      <xdr:col>8</xdr:col>
      <xdr:colOff>45720</xdr:colOff>
      <xdr:row>20</xdr:row>
      <xdr:rowOff>45720</xdr:rowOff>
    </xdr:to>
    <xdr:sp macro="" textlink="">
      <xdr:nvSpPr>
        <xdr:cNvPr id="6" name="Rectangle: Rounded Corners 5">
          <a:extLst>
            <a:ext uri="{FF2B5EF4-FFF2-40B4-BE49-F238E27FC236}">
              <a16:creationId xmlns:a16="http://schemas.microsoft.com/office/drawing/2014/main" id="{E52041C2-6091-A659-6DDC-E976CD50ED04}"/>
            </a:ext>
          </a:extLst>
        </xdr:cNvPr>
        <xdr:cNvSpPr/>
      </xdr:nvSpPr>
      <xdr:spPr>
        <a:xfrm>
          <a:off x="2743200" y="3078480"/>
          <a:ext cx="2179320" cy="62484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449580</xdr:colOff>
      <xdr:row>16</xdr:row>
      <xdr:rowOff>152400</xdr:rowOff>
    </xdr:from>
    <xdr:to>
      <xdr:col>8</xdr:col>
      <xdr:colOff>190500</xdr:colOff>
      <xdr:row>20</xdr:row>
      <xdr:rowOff>45720</xdr:rowOff>
    </xdr:to>
    <xdr:sp macro="" textlink="">
      <xdr:nvSpPr>
        <xdr:cNvPr id="9" name="Rectangle: Rounded Corners 8">
          <a:extLst>
            <a:ext uri="{FF2B5EF4-FFF2-40B4-BE49-F238E27FC236}">
              <a16:creationId xmlns:a16="http://schemas.microsoft.com/office/drawing/2014/main" id="{D04C7517-CB81-8A87-4992-FACA2C2034A2}"/>
            </a:ext>
          </a:extLst>
        </xdr:cNvPr>
        <xdr:cNvSpPr/>
      </xdr:nvSpPr>
      <xdr:spPr>
        <a:xfrm>
          <a:off x="2887980" y="3078480"/>
          <a:ext cx="2179320" cy="6248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243840</xdr:colOff>
      <xdr:row>16</xdr:row>
      <xdr:rowOff>137160</xdr:rowOff>
    </xdr:from>
    <xdr:to>
      <xdr:col>11</xdr:col>
      <xdr:colOff>601980</xdr:colOff>
      <xdr:row>20</xdr:row>
      <xdr:rowOff>30480</xdr:rowOff>
    </xdr:to>
    <xdr:sp macro="" textlink="">
      <xdr:nvSpPr>
        <xdr:cNvPr id="14" name="Rectangle: Rounded Corners 13">
          <a:extLst>
            <a:ext uri="{FF2B5EF4-FFF2-40B4-BE49-F238E27FC236}">
              <a16:creationId xmlns:a16="http://schemas.microsoft.com/office/drawing/2014/main" id="{74D35640-D34C-13DB-1F65-EC9CC7B6633C}"/>
            </a:ext>
          </a:extLst>
        </xdr:cNvPr>
        <xdr:cNvSpPr/>
      </xdr:nvSpPr>
      <xdr:spPr>
        <a:xfrm>
          <a:off x="5120640" y="3063240"/>
          <a:ext cx="2186940" cy="624840"/>
        </a:xfrm>
        <a:prstGeom prst="roundRect">
          <a:avLst/>
        </a:prstGeom>
        <a:solidFill>
          <a:srgbClr val="FF00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388620</xdr:colOff>
      <xdr:row>16</xdr:row>
      <xdr:rowOff>137160</xdr:rowOff>
    </xdr:from>
    <xdr:to>
      <xdr:col>12</xdr:col>
      <xdr:colOff>137160</xdr:colOff>
      <xdr:row>20</xdr:row>
      <xdr:rowOff>30480</xdr:rowOff>
    </xdr:to>
    <xdr:sp macro="" textlink="">
      <xdr:nvSpPr>
        <xdr:cNvPr id="15" name="Rectangle: Rounded Corners 14">
          <a:extLst>
            <a:ext uri="{FF2B5EF4-FFF2-40B4-BE49-F238E27FC236}">
              <a16:creationId xmlns:a16="http://schemas.microsoft.com/office/drawing/2014/main" id="{0E619116-4461-1691-785A-1D63072B020B}"/>
            </a:ext>
          </a:extLst>
        </xdr:cNvPr>
        <xdr:cNvSpPr/>
      </xdr:nvSpPr>
      <xdr:spPr>
        <a:xfrm>
          <a:off x="5265420" y="3063240"/>
          <a:ext cx="2186940" cy="6248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358140</xdr:colOff>
      <xdr:row>22</xdr:row>
      <xdr:rowOff>68580</xdr:rowOff>
    </xdr:from>
    <xdr:to>
      <xdr:col>12</xdr:col>
      <xdr:colOff>312420</xdr:colOff>
      <xdr:row>34</xdr:row>
      <xdr:rowOff>7620</xdr:rowOff>
    </xdr:to>
    <xdr:sp macro="" textlink="">
      <xdr:nvSpPr>
        <xdr:cNvPr id="16" name="Rectangle: Rounded Corners 15">
          <a:extLst>
            <a:ext uri="{FF2B5EF4-FFF2-40B4-BE49-F238E27FC236}">
              <a16:creationId xmlns:a16="http://schemas.microsoft.com/office/drawing/2014/main" id="{1103A8BC-F3F8-0D2F-0283-DE162DD4E0FF}"/>
            </a:ext>
          </a:extLst>
        </xdr:cNvPr>
        <xdr:cNvSpPr/>
      </xdr:nvSpPr>
      <xdr:spPr>
        <a:xfrm>
          <a:off x="2796540" y="4091940"/>
          <a:ext cx="4831080" cy="2133600"/>
        </a:xfrm>
        <a:prstGeom prst="roundRect">
          <a:avLst>
            <a:gd name="adj" fmla="val 9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15240</xdr:colOff>
      <xdr:row>13</xdr:row>
      <xdr:rowOff>152400</xdr:rowOff>
    </xdr:from>
    <xdr:to>
      <xdr:col>21</xdr:col>
      <xdr:colOff>228600</xdr:colOff>
      <xdr:row>23</xdr:row>
      <xdr:rowOff>167640</xdr:rowOff>
    </xdr:to>
    <xdr:sp macro="" textlink="">
      <xdr:nvSpPr>
        <xdr:cNvPr id="17" name="Rectangle: Rounded Corners 16">
          <a:extLst>
            <a:ext uri="{FF2B5EF4-FFF2-40B4-BE49-F238E27FC236}">
              <a16:creationId xmlns:a16="http://schemas.microsoft.com/office/drawing/2014/main" id="{01C0476C-4989-DA6C-1B69-ADE22CD7A90B}"/>
            </a:ext>
          </a:extLst>
        </xdr:cNvPr>
        <xdr:cNvSpPr/>
      </xdr:nvSpPr>
      <xdr:spPr>
        <a:xfrm>
          <a:off x="7940040" y="2529840"/>
          <a:ext cx="5090160" cy="1844040"/>
        </a:xfrm>
        <a:prstGeom prst="roundRect">
          <a:avLst>
            <a:gd name="adj" fmla="val 9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15240</xdr:colOff>
      <xdr:row>24</xdr:row>
      <xdr:rowOff>45720</xdr:rowOff>
    </xdr:from>
    <xdr:to>
      <xdr:col>21</xdr:col>
      <xdr:colOff>243840</xdr:colOff>
      <xdr:row>34</xdr:row>
      <xdr:rowOff>0</xdr:rowOff>
    </xdr:to>
    <xdr:sp macro="" textlink="">
      <xdr:nvSpPr>
        <xdr:cNvPr id="18" name="Rectangle: Rounded Corners 17">
          <a:extLst>
            <a:ext uri="{FF2B5EF4-FFF2-40B4-BE49-F238E27FC236}">
              <a16:creationId xmlns:a16="http://schemas.microsoft.com/office/drawing/2014/main" id="{013597A1-7D49-2036-C605-F4CE312DA1CC}"/>
            </a:ext>
          </a:extLst>
        </xdr:cNvPr>
        <xdr:cNvSpPr/>
      </xdr:nvSpPr>
      <xdr:spPr>
        <a:xfrm>
          <a:off x="7940040" y="4434840"/>
          <a:ext cx="5105400" cy="1783080"/>
        </a:xfrm>
        <a:prstGeom prst="roundRect">
          <a:avLst>
            <a:gd name="adj" fmla="val 9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411480</xdr:colOff>
      <xdr:row>17</xdr:row>
      <xdr:rowOff>22860</xdr:rowOff>
    </xdr:from>
    <xdr:to>
      <xdr:col>5</xdr:col>
      <xdr:colOff>342900</xdr:colOff>
      <xdr:row>20</xdr:row>
      <xdr:rowOff>15240</xdr:rowOff>
    </xdr:to>
    <xdr:pic>
      <xdr:nvPicPr>
        <xdr:cNvPr id="20" name="Graphic 19" descr="Dollar with solid fill">
          <a:extLst>
            <a:ext uri="{FF2B5EF4-FFF2-40B4-BE49-F238E27FC236}">
              <a16:creationId xmlns:a16="http://schemas.microsoft.com/office/drawing/2014/main" id="{434E015C-76C5-A9D0-C7C2-A70455E138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49880" y="3131820"/>
          <a:ext cx="541020" cy="541020"/>
        </a:xfrm>
        <a:prstGeom prst="rect">
          <a:avLst/>
        </a:prstGeom>
      </xdr:spPr>
    </xdr:pic>
    <xdr:clientData/>
  </xdr:twoCellAnchor>
  <xdr:twoCellAnchor editAs="oneCell">
    <xdr:from>
      <xdr:col>4</xdr:col>
      <xdr:colOff>220980</xdr:colOff>
      <xdr:row>9</xdr:row>
      <xdr:rowOff>15240</xdr:rowOff>
    </xdr:from>
    <xdr:to>
      <xdr:col>5</xdr:col>
      <xdr:colOff>198120</xdr:colOff>
      <xdr:row>11</xdr:row>
      <xdr:rowOff>160020</xdr:rowOff>
    </xdr:to>
    <xdr:pic>
      <xdr:nvPicPr>
        <xdr:cNvPr id="22" name="Graphic 21" descr="Document with solid fill">
          <a:extLst>
            <a:ext uri="{FF2B5EF4-FFF2-40B4-BE49-F238E27FC236}">
              <a16:creationId xmlns:a16="http://schemas.microsoft.com/office/drawing/2014/main" id="{9DE9B0FC-8EED-F4F6-E3C3-428B04172F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59380" y="1661160"/>
          <a:ext cx="586740" cy="510540"/>
        </a:xfrm>
        <a:prstGeom prst="rect">
          <a:avLst/>
        </a:prstGeom>
      </xdr:spPr>
    </xdr:pic>
    <xdr:clientData/>
  </xdr:twoCellAnchor>
  <xdr:twoCellAnchor>
    <xdr:from>
      <xdr:col>5</xdr:col>
      <xdr:colOff>297180</xdr:colOff>
      <xdr:row>9</xdr:row>
      <xdr:rowOff>91440</xdr:rowOff>
    </xdr:from>
    <xdr:to>
      <xdr:col>8</xdr:col>
      <xdr:colOff>22860</xdr:colOff>
      <xdr:row>11</xdr:row>
      <xdr:rowOff>53340</xdr:rowOff>
    </xdr:to>
    <xdr:sp macro="" textlink="">
      <xdr:nvSpPr>
        <xdr:cNvPr id="13" name="Rectangle: Rounded Corners 22">
          <a:extLst>
            <a:ext uri="{FF2B5EF4-FFF2-40B4-BE49-F238E27FC236}">
              <a16:creationId xmlns:a16="http://schemas.microsoft.com/office/drawing/2014/main" id="{37C9F7E9-E526-EE13-2711-19CA5F02DF72}"/>
            </a:ext>
          </a:extLst>
        </xdr:cNvPr>
        <xdr:cNvSpPr/>
      </xdr:nvSpPr>
      <xdr:spPr>
        <a:xfrm>
          <a:off x="3345180" y="1737360"/>
          <a:ext cx="15544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Spend</a:t>
          </a:r>
          <a:r>
            <a:rPr lang="en-IN" sz="1600" b="1" baseline="0">
              <a:solidFill>
                <a:schemeClr val="tx1"/>
              </a:solidFill>
            </a:rPr>
            <a:t> Analysis</a:t>
          </a:r>
        </a:p>
        <a:p>
          <a:pPr algn="l"/>
          <a:endParaRPr lang="en-IN" sz="1600" b="1">
            <a:solidFill>
              <a:schemeClr val="tx1"/>
            </a:solidFill>
          </a:endParaRPr>
        </a:p>
      </xdr:txBody>
    </xdr:sp>
    <xdr:clientData/>
  </xdr:twoCellAnchor>
  <xdr:twoCellAnchor>
    <xdr:from>
      <xdr:col>5</xdr:col>
      <xdr:colOff>297180</xdr:colOff>
      <xdr:row>17</xdr:row>
      <xdr:rowOff>0</xdr:rowOff>
    </xdr:from>
    <xdr:to>
      <xdr:col>7</xdr:col>
      <xdr:colOff>403860</xdr:colOff>
      <xdr:row>18</xdr:row>
      <xdr:rowOff>114300</xdr:rowOff>
    </xdr:to>
    <xdr:sp macro="" textlink="">
      <xdr:nvSpPr>
        <xdr:cNvPr id="24" name="Rectangle: Rounded Corners 23">
          <a:extLst>
            <a:ext uri="{FF2B5EF4-FFF2-40B4-BE49-F238E27FC236}">
              <a16:creationId xmlns:a16="http://schemas.microsoft.com/office/drawing/2014/main" id="{88242A43-C98F-CFEA-5028-CFF115362EF5}"/>
            </a:ext>
          </a:extLst>
        </xdr:cNvPr>
        <xdr:cNvSpPr/>
      </xdr:nvSpPr>
      <xdr:spPr>
        <a:xfrm>
          <a:off x="3345180" y="3108960"/>
          <a:ext cx="132588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Amount</a:t>
          </a:r>
        </a:p>
      </xdr:txBody>
    </xdr:sp>
    <xdr:clientData/>
  </xdr:twoCellAnchor>
  <xdr:twoCellAnchor>
    <xdr:from>
      <xdr:col>13</xdr:col>
      <xdr:colOff>30480</xdr:colOff>
      <xdr:row>13</xdr:row>
      <xdr:rowOff>152400</xdr:rowOff>
    </xdr:from>
    <xdr:to>
      <xdr:col>16</xdr:col>
      <xdr:colOff>22860</xdr:colOff>
      <xdr:row>15</xdr:row>
      <xdr:rowOff>83820</xdr:rowOff>
    </xdr:to>
    <xdr:sp macro="" textlink="">
      <xdr:nvSpPr>
        <xdr:cNvPr id="25" name="Rectangle: Rounded Corners 24">
          <a:extLst>
            <a:ext uri="{FF2B5EF4-FFF2-40B4-BE49-F238E27FC236}">
              <a16:creationId xmlns:a16="http://schemas.microsoft.com/office/drawing/2014/main" id="{D0E9D224-0152-7D83-67C4-990FF0E0D347}"/>
            </a:ext>
          </a:extLst>
        </xdr:cNvPr>
        <xdr:cNvSpPr/>
      </xdr:nvSpPr>
      <xdr:spPr>
        <a:xfrm>
          <a:off x="7955280" y="2529840"/>
          <a:ext cx="182118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Monthly Spend Trend</a:t>
          </a:r>
        </a:p>
      </xdr:txBody>
    </xdr:sp>
    <xdr:clientData/>
  </xdr:twoCellAnchor>
  <xdr:twoCellAnchor>
    <xdr:from>
      <xdr:col>13</xdr:col>
      <xdr:colOff>106679</xdr:colOff>
      <xdr:row>25</xdr:row>
      <xdr:rowOff>137160</xdr:rowOff>
    </xdr:from>
    <xdr:to>
      <xdr:col>19</xdr:col>
      <xdr:colOff>12062</xdr:colOff>
      <xdr:row>33</xdr:row>
      <xdr:rowOff>175260</xdr:rowOff>
    </xdr:to>
    <xdr:graphicFrame macro="">
      <xdr:nvGraphicFramePr>
        <xdr:cNvPr id="26" name="Chart 25">
          <a:extLst>
            <a:ext uri="{FF2B5EF4-FFF2-40B4-BE49-F238E27FC236}">
              <a16:creationId xmlns:a16="http://schemas.microsoft.com/office/drawing/2014/main" id="{74CF6765-C970-4AC0-9156-A8C8A1751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68580</xdr:colOff>
      <xdr:row>24</xdr:row>
      <xdr:rowOff>60960</xdr:rowOff>
    </xdr:from>
    <xdr:to>
      <xdr:col>16</xdr:col>
      <xdr:colOff>607390</xdr:colOff>
      <xdr:row>25</xdr:row>
      <xdr:rowOff>175260</xdr:rowOff>
    </xdr:to>
    <xdr:sp macro="" textlink="">
      <xdr:nvSpPr>
        <xdr:cNvPr id="31" name="Rectangle: Rounded Corners 30">
          <a:extLst>
            <a:ext uri="{FF2B5EF4-FFF2-40B4-BE49-F238E27FC236}">
              <a16:creationId xmlns:a16="http://schemas.microsoft.com/office/drawing/2014/main" id="{6ED5363A-63F6-A74E-9EAE-31C10129FDF0}"/>
            </a:ext>
          </a:extLst>
        </xdr:cNvPr>
        <xdr:cNvSpPr/>
      </xdr:nvSpPr>
      <xdr:spPr>
        <a:xfrm>
          <a:off x="7993380" y="4450080"/>
          <a:ext cx="236761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Regional Spend Distribution</a:t>
          </a:r>
        </a:p>
      </xdr:txBody>
    </xdr:sp>
    <xdr:clientData/>
  </xdr:twoCellAnchor>
  <xdr:twoCellAnchor>
    <xdr:from>
      <xdr:col>13</xdr:col>
      <xdr:colOff>76200</xdr:colOff>
      <xdr:row>15</xdr:row>
      <xdr:rowOff>38100</xdr:rowOff>
    </xdr:from>
    <xdr:to>
      <xdr:col>19</xdr:col>
      <xdr:colOff>167640</xdr:colOff>
      <xdr:row>23</xdr:row>
      <xdr:rowOff>160020</xdr:rowOff>
    </xdr:to>
    <xdr:graphicFrame macro="">
      <xdr:nvGraphicFramePr>
        <xdr:cNvPr id="32" name="Chart 31">
          <a:extLst>
            <a:ext uri="{FF2B5EF4-FFF2-40B4-BE49-F238E27FC236}">
              <a16:creationId xmlns:a16="http://schemas.microsoft.com/office/drawing/2014/main" id="{BD5F139D-95A3-4361-82E8-C23B4A3E0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457200</xdr:colOff>
      <xdr:row>21</xdr:row>
      <xdr:rowOff>175260</xdr:rowOff>
    </xdr:from>
    <xdr:to>
      <xdr:col>7</xdr:col>
      <xdr:colOff>518160</xdr:colOff>
      <xdr:row>23</xdr:row>
      <xdr:rowOff>106680</xdr:rowOff>
    </xdr:to>
    <xdr:sp macro="" textlink="">
      <xdr:nvSpPr>
        <xdr:cNvPr id="33" name="Rectangle: Rounded Corners 32">
          <a:extLst>
            <a:ext uri="{FF2B5EF4-FFF2-40B4-BE49-F238E27FC236}">
              <a16:creationId xmlns:a16="http://schemas.microsoft.com/office/drawing/2014/main" id="{157EF807-2DBC-B7B6-D8C9-1AC446CEC832}"/>
            </a:ext>
          </a:extLst>
        </xdr:cNvPr>
        <xdr:cNvSpPr/>
      </xdr:nvSpPr>
      <xdr:spPr>
        <a:xfrm>
          <a:off x="2895600" y="4015740"/>
          <a:ext cx="188976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Spend by Category</a:t>
          </a:r>
        </a:p>
      </xdr:txBody>
    </xdr:sp>
    <xdr:clientData/>
  </xdr:twoCellAnchor>
  <xdr:twoCellAnchor>
    <xdr:from>
      <xdr:col>4</xdr:col>
      <xdr:colOff>434340</xdr:colOff>
      <xdr:row>23</xdr:row>
      <xdr:rowOff>152400</xdr:rowOff>
    </xdr:from>
    <xdr:to>
      <xdr:col>12</xdr:col>
      <xdr:colOff>7620</xdr:colOff>
      <xdr:row>34</xdr:row>
      <xdr:rowOff>7620</xdr:rowOff>
    </xdr:to>
    <xdr:graphicFrame macro="">
      <xdr:nvGraphicFramePr>
        <xdr:cNvPr id="34" name="Chart 33">
          <a:extLst>
            <a:ext uri="{FF2B5EF4-FFF2-40B4-BE49-F238E27FC236}">
              <a16:creationId xmlns:a16="http://schemas.microsoft.com/office/drawing/2014/main" id="{94414F9F-1AB2-4251-A066-892FC8A8A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381000</xdr:colOff>
      <xdr:row>18</xdr:row>
      <xdr:rowOff>53340</xdr:rowOff>
    </xdr:from>
    <xdr:to>
      <xdr:col>7</xdr:col>
      <xdr:colOff>487680</xdr:colOff>
      <xdr:row>19</xdr:row>
      <xdr:rowOff>167640</xdr:rowOff>
    </xdr:to>
    <xdr:sp macro="" textlink="'Pivot Table'!N10">
      <xdr:nvSpPr>
        <xdr:cNvPr id="35" name="Rectangle: Rounded Corners 34">
          <a:extLst>
            <a:ext uri="{FF2B5EF4-FFF2-40B4-BE49-F238E27FC236}">
              <a16:creationId xmlns:a16="http://schemas.microsoft.com/office/drawing/2014/main" id="{F8579818-146C-AE55-1FB9-FDDB143B3610}"/>
            </a:ext>
          </a:extLst>
        </xdr:cNvPr>
        <xdr:cNvSpPr/>
      </xdr:nvSpPr>
      <xdr:spPr>
        <a:xfrm>
          <a:off x="3429000" y="3345180"/>
          <a:ext cx="132588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F72F14-BF62-4217-8B44-76A7F3B88F36}" type="TxLink">
            <a:rPr lang="en-US" sz="1400" b="1" i="0" u="none" strike="noStrike">
              <a:solidFill>
                <a:schemeClr val="accent2"/>
              </a:solidFill>
              <a:latin typeface="Calibri"/>
              <a:ea typeface="Calibri"/>
              <a:cs typeface="Calibri"/>
            </a:rPr>
            <a:pPr algn="l"/>
            <a:t>2,59,59,812</a:t>
          </a:fld>
          <a:endParaRPr lang="en-IN" sz="1800" b="1">
            <a:solidFill>
              <a:schemeClr val="accent2"/>
            </a:solidFill>
          </a:endParaRPr>
        </a:p>
      </xdr:txBody>
    </xdr:sp>
    <xdr:clientData/>
  </xdr:twoCellAnchor>
  <xdr:twoCellAnchor editAs="oneCell">
    <xdr:from>
      <xdr:col>8</xdr:col>
      <xdr:colOff>480059</xdr:colOff>
      <xdr:row>16</xdr:row>
      <xdr:rowOff>167639</xdr:rowOff>
    </xdr:from>
    <xdr:to>
      <xdr:col>9</xdr:col>
      <xdr:colOff>485378</xdr:colOff>
      <xdr:row>20</xdr:row>
      <xdr:rowOff>51038</xdr:rowOff>
    </xdr:to>
    <xdr:pic>
      <xdr:nvPicPr>
        <xdr:cNvPr id="37" name="Graphic 36" descr="Business Growth with solid fill">
          <a:extLst>
            <a:ext uri="{FF2B5EF4-FFF2-40B4-BE49-F238E27FC236}">
              <a16:creationId xmlns:a16="http://schemas.microsoft.com/office/drawing/2014/main" id="{9F329A48-641C-C679-A61A-87044C3EBC5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56859" y="3093719"/>
          <a:ext cx="614919" cy="614919"/>
        </a:xfrm>
        <a:prstGeom prst="rect">
          <a:avLst/>
        </a:prstGeom>
      </xdr:spPr>
    </xdr:pic>
    <xdr:clientData/>
  </xdr:twoCellAnchor>
  <xdr:twoCellAnchor>
    <xdr:from>
      <xdr:col>9</xdr:col>
      <xdr:colOff>541020</xdr:colOff>
      <xdr:row>16</xdr:row>
      <xdr:rowOff>167640</xdr:rowOff>
    </xdr:from>
    <xdr:to>
      <xdr:col>12</xdr:col>
      <xdr:colOff>42736</xdr:colOff>
      <xdr:row>18</xdr:row>
      <xdr:rowOff>99060</xdr:rowOff>
    </xdr:to>
    <xdr:sp macro="" textlink="">
      <xdr:nvSpPr>
        <xdr:cNvPr id="38" name="Rectangle: Rounded Corners 37">
          <a:extLst>
            <a:ext uri="{FF2B5EF4-FFF2-40B4-BE49-F238E27FC236}">
              <a16:creationId xmlns:a16="http://schemas.microsoft.com/office/drawing/2014/main" id="{19144AC5-C355-FB49-9A39-98B3E78095CE}"/>
            </a:ext>
          </a:extLst>
        </xdr:cNvPr>
        <xdr:cNvSpPr/>
      </xdr:nvSpPr>
      <xdr:spPr>
        <a:xfrm>
          <a:off x="6027420" y="3093720"/>
          <a:ext cx="1330516"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Vendors</a:t>
          </a:r>
        </a:p>
      </xdr:txBody>
    </xdr:sp>
    <xdr:clientData/>
  </xdr:twoCellAnchor>
  <xdr:twoCellAnchor>
    <xdr:from>
      <xdr:col>10</xdr:col>
      <xdr:colOff>228600</xdr:colOff>
      <xdr:row>18</xdr:row>
      <xdr:rowOff>53340</xdr:rowOff>
    </xdr:from>
    <xdr:to>
      <xdr:col>12</xdr:col>
      <xdr:colOff>339916</xdr:colOff>
      <xdr:row>19</xdr:row>
      <xdr:rowOff>167640</xdr:rowOff>
    </xdr:to>
    <xdr:sp macro="" textlink="'Pivot Table'!N13">
      <xdr:nvSpPr>
        <xdr:cNvPr id="39" name="Rectangle: Rounded Corners 38">
          <a:extLst>
            <a:ext uri="{FF2B5EF4-FFF2-40B4-BE49-F238E27FC236}">
              <a16:creationId xmlns:a16="http://schemas.microsoft.com/office/drawing/2014/main" id="{6987C217-88C3-DAAB-B111-4B4B9D9E3706}"/>
            </a:ext>
          </a:extLst>
        </xdr:cNvPr>
        <xdr:cNvSpPr/>
      </xdr:nvSpPr>
      <xdr:spPr>
        <a:xfrm>
          <a:off x="6324600" y="3345180"/>
          <a:ext cx="1330516"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5304ECE-32F8-4488-A432-4B16C368AC22}" type="TxLink">
            <a:rPr lang="en-US" sz="1400" b="1" i="0" u="none" strike="noStrike">
              <a:solidFill>
                <a:srgbClr val="FF0066"/>
              </a:solidFill>
              <a:latin typeface="Calibri"/>
              <a:ea typeface="Calibri"/>
              <a:cs typeface="Calibri"/>
            </a:rPr>
            <a:pPr algn="l"/>
            <a:t>200</a:t>
          </a:fld>
          <a:endParaRPr lang="en-IN" sz="1800" b="1">
            <a:solidFill>
              <a:srgbClr val="FF0066"/>
            </a:solidFill>
          </a:endParaRPr>
        </a:p>
      </xdr:txBody>
    </xdr:sp>
    <xdr:clientData/>
  </xdr:twoCellAnchor>
  <xdr:twoCellAnchor>
    <xdr:from>
      <xdr:col>8</xdr:col>
      <xdr:colOff>236220</xdr:colOff>
      <xdr:row>12</xdr:row>
      <xdr:rowOff>152400</xdr:rowOff>
    </xdr:from>
    <xdr:to>
      <xdr:col>11</xdr:col>
      <xdr:colOff>601980</xdr:colOff>
      <xdr:row>16</xdr:row>
      <xdr:rowOff>15240</xdr:rowOff>
    </xdr:to>
    <xdr:sp macro="" textlink="">
      <xdr:nvSpPr>
        <xdr:cNvPr id="40" name="Rectangle: Rounded Corners 39">
          <a:extLst>
            <a:ext uri="{FF2B5EF4-FFF2-40B4-BE49-F238E27FC236}">
              <a16:creationId xmlns:a16="http://schemas.microsoft.com/office/drawing/2014/main" id="{28B06808-E974-C3F0-A460-41BFCF0D1F60}"/>
            </a:ext>
          </a:extLst>
        </xdr:cNvPr>
        <xdr:cNvSpPr/>
      </xdr:nvSpPr>
      <xdr:spPr>
        <a:xfrm>
          <a:off x="5113020" y="2346960"/>
          <a:ext cx="2194560" cy="59436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381000</xdr:colOff>
      <xdr:row>12</xdr:row>
      <xdr:rowOff>152400</xdr:rowOff>
    </xdr:from>
    <xdr:to>
      <xdr:col>12</xdr:col>
      <xdr:colOff>137160</xdr:colOff>
      <xdr:row>16</xdr:row>
      <xdr:rowOff>15240</xdr:rowOff>
    </xdr:to>
    <xdr:sp macro="" textlink="">
      <xdr:nvSpPr>
        <xdr:cNvPr id="41" name="Rectangle: Rounded Corners 40">
          <a:extLst>
            <a:ext uri="{FF2B5EF4-FFF2-40B4-BE49-F238E27FC236}">
              <a16:creationId xmlns:a16="http://schemas.microsoft.com/office/drawing/2014/main" id="{596F6C4C-41EE-5AB1-0DEA-3205B468F127}"/>
            </a:ext>
          </a:extLst>
        </xdr:cNvPr>
        <xdr:cNvSpPr/>
      </xdr:nvSpPr>
      <xdr:spPr>
        <a:xfrm>
          <a:off x="5257800" y="2346960"/>
          <a:ext cx="2194560" cy="5943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297180</xdr:colOff>
      <xdr:row>12</xdr:row>
      <xdr:rowOff>160020</xdr:rowOff>
    </xdr:from>
    <xdr:to>
      <xdr:col>12</xdr:col>
      <xdr:colOff>289560</xdr:colOff>
      <xdr:row>14</xdr:row>
      <xdr:rowOff>76943</xdr:rowOff>
    </xdr:to>
    <xdr:sp macro="" textlink="">
      <xdr:nvSpPr>
        <xdr:cNvPr id="43" name="Rectangle: Rounded Corners 42">
          <a:extLst>
            <a:ext uri="{FF2B5EF4-FFF2-40B4-BE49-F238E27FC236}">
              <a16:creationId xmlns:a16="http://schemas.microsoft.com/office/drawing/2014/main" id="{97A33E13-5185-9E38-A843-2519086AB429}"/>
            </a:ext>
          </a:extLst>
        </xdr:cNvPr>
        <xdr:cNvSpPr/>
      </xdr:nvSpPr>
      <xdr:spPr>
        <a:xfrm>
          <a:off x="5783580" y="2354580"/>
          <a:ext cx="1821180" cy="2826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of Late Payments</a:t>
          </a:r>
        </a:p>
      </xdr:txBody>
    </xdr:sp>
    <xdr:clientData/>
  </xdr:twoCellAnchor>
  <xdr:twoCellAnchor>
    <xdr:from>
      <xdr:col>10</xdr:col>
      <xdr:colOff>144780</xdr:colOff>
      <xdr:row>14</xdr:row>
      <xdr:rowOff>30480</xdr:rowOff>
    </xdr:from>
    <xdr:to>
      <xdr:col>11</xdr:col>
      <xdr:colOff>342900</xdr:colOff>
      <xdr:row>15</xdr:row>
      <xdr:rowOff>130283</xdr:rowOff>
    </xdr:to>
    <xdr:sp macro="" textlink="'Pivot Table'!N16:N18">
      <xdr:nvSpPr>
        <xdr:cNvPr id="44" name="Rectangle: Rounded Corners 43">
          <a:extLst>
            <a:ext uri="{FF2B5EF4-FFF2-40B4-BE49-F238E27FC236}">
              <a16:creationId xmlns:a16="http://schemas.microsoft.com/office/drawing/2014/main" id="{6D358A14-7D0B-16DC-E729-E78CA9FFCAC3}"/>
            </a:ext>
          </a:extLst>
        </xdr:cNvPr>
        <xdr:cNvSpPr/>
      </xdr:nvSpPr>
      <xdr:spPr>
        <a:xfrm>
          <a:off x="6240780" y="2590800"/>
          <a:ext cx="807720" cy="2826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39997C-5BC4-4B65-8297-F0CD01B66A1B}" type="TxLink">
            <a:rPr lang="en-US" sz="1400" b="1" i="0" u="none" strike="noStrike">
              <a:solidFill>
                <a:schemeClr val="accent6"/>
              </a:solidFill>
              <a:latin typeface="Calibri"/>
              <a:ea typeface="Calibri"/>
              <a:cs typeface="Calibri"/>
            </a:rPr>
            <a:pPr algn="l"/>
            <a:t>44.00%</a:t>
          </a:fld>
          <a:endParaRPr lang="en-IN" sz="2400" b="1">
            <a:solidFill>
              <a:schemeClr val="accent6"/>
            </a:solidFill>
          </a:endParaRPr>
        </a:p>
      </xdr:txBody>
    </xdr:sp>
    <xdr:clientData/>
  </xdr:twoCellAnchor>
  <xdr:twoCellAnchor editAs="oneCell">
    <xdr:from>
      <xdr:col>8</xdr:col>
      <xdr:colOff>419100</xdr:colOff>
      <xdr:row>12</xdr:row>
      <xdr:rowOff>144780</xdr:rowOff>
    </xdr:from>
    <xdr:to>
      <xdr:col>9</xdr:col>
      <xdr:colOff>365760</xdr:colOff>
      <xdr:row>15</xdr:row>
      <xdr:rowOff>152400</xdr:rowOff>
    </xdr:to>
    <xdr:pic>
      <xdr:nvPicPr>
        <xdr:cNvPr id="46" name="Graphic 45" descr="Bar graph with downward trend with solid fill">
          <a:extLst>
            <a:ext uri="{FF2B5EF4-FFF2-40B4-BE49-F238E27FC236}">
              <a16:creationId xmlns:a16="http://schemas.microsoft.com/office/drawing/2014/main" id="{5335A930-F7FB-5793-154D-D75584EA198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95900" y="2339340"/>
          <a:ext cx="556260" cy="556260"/>
        </a:xfrm>
        <a:prstGeom prst="rect">
          <a:avLst/>
        </a:prstGeom>
      </xdr:spPr>
    </xdr:pic>
    <xdr:clientData/>
  </xdr:twoCellAnchor>
  <xdr:twoCellAnchor>
    <xdr:from>
      <xdr:col>4</xdr:col>
      <xdr:colOff>281940</xdr:colOff>
      <xdr:row>12</xdr:row>
      <xdr:rowOff>175260</xdr:rowOff>
    </xdr:from>
    <xdr:to>
      <xdr:col>8</xdr:col>
      <xdr:colOff>38100</xdr:colOff>
      <xdr:row>16</xdr:row>
      <xdr:rowOff>38100</xdr:rowOff>
    </xdr:to>
    <xdr:sp macro="" textlink="">
      <xdr:nvSpPr>
        <xdr:cNvPr id="47" name="Rectangle: Rounded Corners 46">
          <a:extLst>
            <a:ext uri="{FF2B5EF4-FFF2-40B4-BE49-F238E27FC236}">
              <a16:creationId xmlns:a16="http://schemas.microsoft.com/office/drawing/2014/main" id="{A5654BF0-9A4A-0785-76E4-41B673516045}"/>
            </a:ext>
          </a:extLst>
        </xdr:cNvPr>
        <xdr:cNvSpPr/>
      </xdr:nvSpPr>
      <xdr:spPr>
        <a:xfrm>
          <a:off x="2720340" y="2369820"/>
          <a:ext cx="2194560" cy="594360"/>
        </a:xfrm>
        <a:prstGeom prst="roundRect">
          <a:avLst/>
        </a:prstGeom>
        <a:solidFill>
          <a:srgbClr val="9900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426720</xdr:colOff>
      <xdr:row>12</xdr:row>
      <xdr:rowOff>175260</xdr:rowOff>
    </xdr:from>
    <xdr:to>
      <xdr:col>8</xdr:col>
      <xdr:colOff>182880</xdr:colOff>
      <xdr:row>16</xdr:row>
      <xdr:rowOff>38100</xdr:rowOff>
    </xdr:to>
    <xdr:sp macro="" textlink="">
      <xdr:nvSpPr>
        <xdr:cNvPr id="48" name="Rectangle: Rounded Corners 47">
          <a:extLst>
            <a:ext uri="{FF2B5EF4-FFF2-40B4-BE49-F238E27FC236}">
              <a16:creationId xmlns:a16="http://schemas.microsoft.com/office/drawing/2014/main" id="{A11278A8-2FC3-71BE-B35A-CE1600C72DAC}"/>
            </a:ext>
          </a:extLst>
        </xdr:cNvPr>
        <xdr:cNvSpPr/>
      </xdr:nvSpPr>
      <xdr:spPr>
        <a:xfrm>
          <a:off x="2865120" y="2369820"/>
          <a:ext cx="2194560" cy="5943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251460</xdr:colOff>
      <xdr:row>12</xdr:row>
      <xdr:rowOff>175261</xdr:rowOff>
    </xdr:from>
    <xdr:to>
      <xdr:col>8</xdr:col>
      <xdr:colOff>251460</xdr:colOff>
      <xdr:row>14</xdr:row>
      <xdr:rowOff>83821</xdr:rowOff>
    </xdr:to>
    <xdr:sp macro="" textlink="">
      <xdr:nvSpPr>
        <xdr:cNvPr id="49" name="Rectangle: Rounded Corners 48">
          <a:extLst>
            <a:ext uri="{FF2B5EF4-FFF2-40B4-BE49-F238E27FC236}">
              <a16:creationId xmlns:a16="http://schemas.microsoft.com/office/drawing/2014/main" id="{E9BC0AC5-384A-8A88-3610-0787248785BB}"/>
            </a:ext>
          </a:extLst>
        </xdr:cNvPr>
        <xdr:cNvSpPr/>
      </xdr:nvSpPr>
      <xdr:spPr>
        <a:xfrm>
          <a:off x="3299460" y="2369821"/>
          <a:ext cx="182880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Average Delay (Days)</a:t>
          </a:r>
        </a:p>
      </xdr:txBody>
    </xdr:sp>
    <xdr:clientData/>
  </xdr:twoCellAnchor>
  <xdr:twoCellAnchor>
    <xdr:from>
      <xdr:col>6</xdr:col>
      <xdr:colOff>190500</xdr:colOff>
      <xdr:row>14</xdr:row>
      <xdr:rowOff>53340</xdr:rowOff>
    </xdr:from>
    <xdr:to>
      <xdr:col>7</xdr:col>
      <xdr:colOff>388620</xdr:colOff>
      <xdr:row>15</xdr:row>
      <xdr:rowOff>153143</xdr:rowOff>
    </xdr:to>
    <xdr:sp macro="" textlink="'Pivot Table'!N21">
      <xdr:nvSpPr>
        <xdr:cNvPr id="50" name="Rectangle: Rounded Corners 49">
          <a:extLst>
            <a:ext uri="{FF2B5EF4-FFF2-40B4-BE49-F238E27FC236}">
              <a16:creationId xmlns:a16="http://schemas.microsoft.com/office/drawing/2014/main" id="{F5877899-F93D-13FD-37DB-E97CB4F97C94}"/>
            </a:ext>
          </a:extLst>
        </xdr:cNvPr>
        <xdr:cNvSpPr/>
      </xdr:nvSpPr>
      <xdr:spPr>
        <a:xfrm>
          <a:off x="3848100" y="2613660"/>
          <a:ext cx="807720" cy="2826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9ECC33-5191-475E-8BF9-B394D122D64E}" type="TxLink">
            <a:rPr lang="en-US" sz="1400" b="1" i="0" u="none" strike="noStrike">
              <a:solidFill>
                <a:srgbClr val="990099"/>
              </a:solidFill>
              <a:latin typeface="Calibri"/>
              <a:ea typeface="Calibri"/>
              <a:cs typeface="Calibri"/>
            </a:rPr>
            <a:pPr algn="l"/>
            <a:t>12.31</a:t>
          </a:fld>
          <a:endParaRPr lang="en-IN" sz="3200" b="1">
            <a:solidFill>
              <a:srgbClr val="990099"/>
            </a:solidFill>
          </a:endParaRPr>
        </a:p>
      </xdr:txBody>
    </xdr:sp>
    <xdr:clientData/>
  </xdr:twoCellAnchor>
  <xdr:twoCellAnchor editAs="oneCell">
    <xdr:from>
      <xdr:col>4</xdr:col>
      <xdr:colOff>434340</xdr:colOff>
      <xdr:row>13</xdr:row>
      <xdr:rowOff>22860</xdr:rowOff>
    </xdr:from>
    <xdr:to>
      <xdr:col>5</xdr:col>
      <xdr:colOff>388620</xdr:colOff>
      <xdr:row>16</xdr:row>
      <xdr:rowOff>38100</xdr:rowOff>
    </xdr:to>
    <xdr:pic>
      <xdr:nvPicPr>
        <xdr:cNvPr id="58" name="Graphic 57" descr="Hourglass Finished with solid fill">
          <a:extLst>
            <a:ext uri="{FF2B5EF4-FFF2-40B4-BE49-F238E27FC236}">
              <a16:creationId xmlns:a16="http://schemas.microsoft.com/office/drawing/2014/main" id="{EB01F683-A9DB-4D33-0BE2-208FD66979A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872740" y="2400300"/>
          <a:ext cx="563880" cy="563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83820</xdr:colOff>
      <xdr:row>18</xdr:row>
      <xdr:rowOff>15240</xdr:rowOff>
    </xdr:from>
    <xdr:to>
      <xdr:col>8</xdr:col>
      <xdr:colOff>7620</xdr:colOff>
      <xdr:row>24</xdr:row>
      <xdr:rowOff>91440</xdr:rowOff>
    </xdr:to>
    <mc:AlternateContent xmlns:mc="http://schemas.openxmlformats.org/markup-compatibility/2006" xmlns:tsle="http://schemas.microsoft.com/office/drawing/2012/timeslicer">
      <mc:Choice Requires="tsle">
        <xdr:graphicFrame macro="">
          <xdr:nvGraphicFramePr>
            <xdr:cNvPr id="5" name="Month">
              <a:extLst>
                <a:ext uri="{FF2B5EF4-FFF2-40B4-BE49-F238E27FC236}">
                  <a16:creationId xmlns:a16="http://schemas.microsoft.com/office/drawing/2014/main" id="{B8A79A82-063C-5DC6-5721-8B6CE185EC65}"/>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83820" y="3307080"/>
              <a:ext cx="6195060" cy="1173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25</xdr:row>
      <xdr:rowOff>38101</xdr:rowOff>
    </xdr:from>
    <xdr:to>
      <xdr:col>4</xdr:col>
      <xdr:colOff>786706</xdr:colOff>
      <xdr:row>31</xdr:row>
      <xdr:rowOff>56821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6C28008-8EED-4649-F741-68BCA29B35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610101"/>
              <a:ext cx="3728026"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xdr:colOff>
      <xdr:row>25</xdr:row>
      <xdr:rowOff>22861</xdr:rowOff>
    </xdr:from>
    <xdr:to>
      <xdr:col>12</xdr:col>
      <xdr:colOff>76200</xdr:colOff>
      <xdr:row>29</xdr:row>
      <xdr:rowOff>53340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DD514FB-C7EB-69C0-30BB-D106FBF6B8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70020" y="4594861"/>
              <a:ext cx="5448300"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99060</xdr:colOff>
      <xdr:row>30</xdr:row>
      <xdr:rowOff>0</xdr:rowOff>
    </xdr:from>
    <xdr:to>
      <xdr:col>10</xdr:col>
      <xdr:colOff>7620</xdr:colOff>
      <xdr:row>39</xdr:row>
      <xdr:rowOff>129540</xdr:rowOff>
    </xdr:to>
    <xdr:graphicFrame macro="">
      <xdr:nvGraphicFramePr>
        <xdr:cNvPr id="4" name="Chart 3">
          <a:extLst>
            <a:ext uri="{FF2B5EF4-FFF2-40B4-BE49-F238E27FC236}">
              <a16:creationId xmlns:a16="http://schemas.microsoft.com/office/drawing/2014/main" id="{CB9AD814-7320-6A04-1624-BF347361E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281940</xdr:colOff>
      <xdr:row>32</xdr:row>
      <xdr:rowOff>26670</xdr:rowOff>
    </xdr:from>
    <xdr:to>
      <xdr:col>4</xdr:col>
      <xdr:colOff>297180</xdr:colOff>
      <xdr:row>40</xdr:row>
      <xdr:rowOff>121920</xdr:rowOff>
    </xdr:to>
    <xdr:graphicFrame macro="">
      <xdr:nvGraphicFramePr>
        <xdr:cNvPr id="7" name="Chart 6">
          <a:extLst>
            <a:ext uri="{FF2B5EF4-FFF2-40B4-BE49-F238E27FC236}">
              <a16:creationId xmlns:a16="http://schemas.microsoft.com/office/drawing/2014/main" id="{DB3A558C-5205-0AE7-65BB-2D248630E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179070</xdr:rowOff>
    </xdr:from>
    <xdr:to>
      <xdr:col>9</xdr:col>
      <xdr:colOff>449580</xdr:colOff>
      <xdr:row>51</xdr:row>
      <xdr:rowOff>91440</xdr:rowOff>
    </xdr:to>
    <xdr:graphicFrame macro="">
      <xdr:nvGraphicFramePr>
        <xdr:cNvPr id="8" name="Chart 7">
          <a:extLst>
            <a:ext uri="{FF2B5EF4-FFF2-40B4-BE49-F238E27FC236}">
              <a16:creationId xmlns:a16="http://schemas.microsoft.com/office/drawing/2014/main" id="{ECED5D68-D0E6-9909-AE19-CEB617D52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53.530163888892" createdVersion="8" refreshedVersion="8" minRefreshableVersion="3" recordCount="200" xr:uid="{E2934925-2263-4D0F-B02E-4EF8B7C456D4}">
  <cacheSource type="worksheet">
    <worksheetSource ref="A1:G201" sheet="Data List"/>
  </cacheSource>
  <cacheFields count="9">
    <cacheField name="Vendor" numFmtId="0">
      <sharedItems count="157">
        <s v="Skaboo"/>
        <s v="Yodo"/>
        <s v="Mynte"/>
        <s v="Thoughtbeat"/>
        <s v="Rhyzio"/>
        <s v="Meedoo"/>
        <s v="Browsedrive"/>
        <s v="Photobean"/>
        <s v="Realbuzz"/>
        <s v="Jabberbean"/>
        <s v="Quimm"/>
        <s v="Quatz"/>
        <s v="Zoomlounge"/>
        <s v="Meeveo"/>
        <s v="Skibox"/>
        <s v="Skinix"/>
        <s v="Yambee"/>
        <s v="Topiczoom"/>
        <s v="Katz"/>
        <s v="Avaveo"/>
        <s v="Miboo"/>
        <s v="Twinte"/>
        <s v="Flashspan"/>
        <s v="Zoomdog"/>
        <s v="Mycat"/>
        <s v="Zoozzy"/>
        <s v="Lazz"/>
        <s v="Vimbo"/>
        <s v="Rooxo"/>
        <s v="Mydeo"/>
        <s v="Jabbersphere"/>
        <s v="DabZ"/>
        <s v="Chatterpoint"/>
        <s v="Fliptune"/>
        <s v="Quinu"/>
        <s v="Latz"/>
        <s v="Meembee"/>
        <s v="Mybuzz"/>
        <s v="Aibox"/>
        <s v="Skalith"/>
        <s v="Tagfeed"/>
        <s v="Eayo"/>
        <s v="Digitube"/>
        <s v="Snaptags"/>
        <s v="Leenti"/>
        <s v="Jabbercube"/>
        <s v="Oyoba"/>
        <s v="Livefish"/>
        <s v="Quamba"/>
        <s v="Zooveo"/>
        <s v="Jaloo"/>
        <s v="Abatz"/>
        <s v="Fadeo"/>
        <s v="Camimbo"/>
        <s v="Devshare"/>
        <s v="Jaxbean"/>
        <s v="Eare"/>
        <s v="Vitz"/>
        <s v="Twitterbeat"/>
        <s v="Viva"/>
        <s v="Quaxo"/>
        <s v="Livetube"/>
        <s v="Dynava"/>
        <s v="Kwilith"/>
        <s v="Babbleset"/>
        <s v="Pixonyx"/>
        <s v="Flipstorm"/>
        <s v="Tazzy"/>
        <s v="Photospace"/>
        <s v="Nlounge"/>
        <s v="Youbridge"/>
        <s v="Dablist"/>
        <s v="Blogtags"/>
        <s v="Yodoo"/>
        <s v="Ozu"/>
        <s v="Flashpoint"/>
        <s v="Kayveo"/>
        <s v="Zooxo"/>
        <s v="Twitternation"/>
        <s v="Reallinks"/>
        <s v="Gigaclub"/>
        <s v="Blogpad"/>
        <s v="Dabfeed"/>
        <s v="Riffpath"/>
        <s v="Fatz"/>
        <s v="Meetz"/>
        <s v="Rhynoodle"/>
        <s v="Voolia"/>
        <s v="Innojam"/>
        <s v="Voonte"/>
        <s v="Skidoo"/>
        <s v="Demivee"/>
        <s v="Youfeed"/>
        <s v="Cogidoo"/>
        <s v="Realfire"/>
        <s v="Mydo"/>
        <s v="Skyvu"/>
        <s v="Trupe"/>
        <s v="Realcube"/>
        <s v="Fiveclub"/>
        <s v="Voonix"/>
        <s v="Browsetype"/>
        <s v="Pixope"/>
        <s v="Midel"/>
        <s v="Jetpulse"/>
        <s v="Edgeify"/>
        <s v="Muxo"/>
        <s v="Eazzy"/>
        <s v="Talane"/>
        <s v="Demimbu"/>
        <s v="Kwinu"/>
        <s v="Tekfly"/>
        <s v="Thoughtsphere"/>
        <s v="Kwideo"/>
        <s v="Jayo"/>
        <s v="Dabshots"/>
        <s v="Kazu"/>
        <s v="Riffwire"/>
        <s v="Blogtag"/>
        <s v="Flipbug"/>
        <s v="Feedmix"/>
        <s v="Flipopia"/>
        <s v="Riffpedia"/>
        <s v="Topicshots"/>
        <s v="Jaxspan"/>
        <s v="Brightdog"/>
        <s v="Centizu"/>
        <s v="Edgeclub"/>
        <s v="Dabvine"/>
        <s v="Oloo"/>
        <s v="Oyondu"/>
        <s v="Ooba"/>
        <s v="Babbleopia"/>
        <s v="Babblestorm"/>
        <s v="Devpoint"/>
        <s v="Eadel"/>
        <s v="Centimia"/>
        <s v="Thoughtmix"/>
        <s v="Tambee"/>
        <s v="Vipe"/>
        <s v="Buzzdog"/>
        <s v="Youspan"/>
        <s v="Livepath"/>
        <s v="Photolist"/>
        <s v="Eidel"/>
        <s v="Plambee"/>
        <s v="Gabcube"/>
        <s v="Wikivu"/>
        <s v="Fivechat"/>
        <s v="Cogilith"/>
        <s v="Eamia"/>
        <s v="Devpulse"/>
        <s v="Dabjam"/>
        <s v="Shuffletag"/>
        <s v="Kimia"/>
        <s v="Youopia"/>
        <s v="Teklist"/>
      </sharedItems>
    </cacheField>
    <cacheField name="Month" numFmtId="14">
      <sharedItems containsSemiMixedTypes="0" containsNonDate="0" containsDate="1" containsString="0" minDate="2024-01-07T00:00:00" maxDate="2024-12-29T00:00:00" count="159">
        <d v="2024-08-09T00:00:00"/>
        <d v="2024-08-04T00:00:00"/>
        <d v="2024-05-29T00:00:00"/>
        <d v="2024-04-09T00:00:00"/>
        <d v="2024-03-13T00:00:00"/>
        <d v="2024-01-19T00:00:00"/>
        <d v="2024-07-23T00:00:00"/>
        <d v="2024-02-26T00:00:00"/>
        <d v="2024-05-02T00:00:00"/>
        <d v="2024-03-06T00:00:00"/>
        <d v="2024-08-31T00:00:00"/>
        <d v="2024-05-31T00:00:00"/>
        <d v="2024-06-12T00:00:00"/>
        <d v="2024-03-25T00:00:00"/>
        <d v="2024-09-11T00:00:00"/>
        <d v="2024-08-17T00:00:00"/>
        <d v="2024-10-08T00:00:00"/>
        <d v="2024-01-15T00:00:00"/>
        <d v="2024-01-10T00:00:00"/>
        <d v="2024-07-01T00:00:00"/>
        <d v="2024-06-26T00:00:00"/>
        <d v="2024-10-14T00:00:00"/>
        <d v="2024-03-26T00:00:00"/>
        <d v="2024-07-24T00:00:00"/>
        <d v="2024-12-17T00:00:00"/>
        <d v="2024-07-16T00:00:00"/>
        <d v="2024-08-25T00:00:00"/>
        <d v="2024-04-06T00:00:00"/>
        <d v="2024-11-21T00:00:00"/>
        <d v="2024-10-09T00:00:00"/>
        <d v="2024-02-19T00:00:00"/>
        <d v="2024-09-18T00:00:00"/>
        <d v="2024-11-17T00:00:00"/>
        <d v="2024-06-18T00:00:00"/>
        <d v="2024-04-08T00:00:00"/>
        <d v="2024-12-11T00:00:00"/>
        <d v="2024-01-07T00:00:00"/>
        <d v="2024-12-15T00:00:00"/>
        <d v="2024-11-18T00:00:00"/>
        <d v="2024-05-09T00:00:00"/>
        <d v="2024-08-07T00:00:00"/>
        <d v="2024-06-05T00:00:00"/>
        <d v="2024-05-19T00:00:00"/>
        <d v="2024-03-08T00:00:00"/>
        <d v="2024-05-11T00:00:00"/>
        <d v="2024-11-07T00:00:00"/>
        <d v="2024-06-10T00:00:00"/>
        <d v="2024-01-20T00:00:00"/>
        <d v="2024-08-05T00:00:00"/>
        <d v="2024-06-03T00:00:00"/>
        <d v="2024-01-24T00:00:00"/>
        <d v="2024-09-20T00:00:00"/>
        <d v="2024-06-14T00:00:00"/>
        <d v="2024-11-08T00:00:00"/>
        <d v="2024-07-04T00:00:00"/>
        <d v="2024-12-23T00:00:00"/>
        <d v="2024-06-20T00:00:00"/>
        <d v="2024-08-22T00:00:00"/>
        <d v="2024-08-27T00:00:00"/>
        <d v="2024-07-13T00:00:00"/>
        <d v="2024-03-21T00:00:00"/>
        <d v="2024-08-26T00:00:00"/>
        <d v="2024-12-13T00:00:00"/>
        <d v="2024-12-16T00:00:00"/>
        <d v="2024-03-11T00:00:00"/>
        <d v="2024-11-27T00:00:00"/>
        <d v="2024-03-29T00:00:00"/>
        <d v="2024-07-26T00:00:00"/>
        <d v="2024-02-14T00:00:00"/>
        <d v="2024-04-03T00:00:00"/>
        <d v="2024-05-10T00:00:00"/>
        <d v="2024-09-12T00:00:00"/>
        <d v="2024-10-01T00:00:00"/>
        <d v="2024-07-30T00:00:00"/>
        <d v="2024-04-11T00:00:00"/>
        <d v="2024-12-28T00:00:00"/>
        <d v="2024-07-28T00:00:00"/>
        <d v="2024-12-09T00:00:00"/>
        <d v="2024-07-06T00:00:00"/>
        <d v="2024-06-17T00:00:00"/>
        <d v="2024-12-02T00:00:00"/>
        <d v="2024-07-19T00:00:00"/>
        <d v="2024-05-17T00:00:00"/>
        <d v="2024-12-24T00:00:00"/>
        <d v="2024-02-11T00:00:00"/>
        <d v="2024-05-23T00:00:00"/>
        <d v="2024-02-16T00:00:00"/>
        <d v="2024-10-13T00:00:00"/>
        <d v="2024-03-04T00:00:00"/>
        <d v="2024-09-23T00:00:00"/>
        <d v="2024-09-25T00:00:00"/>
        <d v="2024-03-19T00:00:00"/>
        <d v="2024-02-17T00:00:00"/>
        <d v="2024-06-22T00:00:00"/>
        <d v="2024-08-28T00:00:00"/>
        <d v="2024-10-21T00:00:00"/>
        <d v="2024-03-07T00:00:00"/>
        <d v="2024-09-08T00:00:00"/>
        <d v="2024-03-15T00:00:00"/>
        <d v="2024-09-04T00:00:00"/>
        <d v="2024-10-15T00:00:00"/>
        <d v="2024-06-15T00:00:00"/>
        <d v="2024-06-07T00:00:00"/>
        <d v="2024-10-29T00:00:00"/>
        <d v="2024-12-27T00:00:00"/>
        <d v="2024-05-05T00:00:00"/>
        <d v="2024-09-19T00:00:00"/>
        <d v="2024-07-08T00:00:00"/>
        <d v="2024-12-12T00:00:00"/>
        <d v="2024-07-21T00:00:00"/>
        <d v="2024-11-26T00:00:00"/>
        <d v="2024-02-13T00:00:00"/>
        <d v="2024-12-08T00:00:00"/>
        <d v="2024-09-24T00:00:00"/>
        <d v="2024-02-02T00:00:00"/>
        <d v="2024-08-18T00:00:00"/>
        <d v="2024-01-16T00:00:00"/>
        <d v="2024-09-03T00:00:00"/>
        <d v="2024-05-03T00:00:00"/>
        <d v="2024-03-28T00:00:00"/>
        <d v="2024-08-01T00:00:00"/>
        <d v="2024-08-15T00:00:00"/>
        <d v="2024-01-09T00:00:00"/>
        <d v="2024-06-16T00:00:00"/>
        <d v="2024-08-21T00:00:00"/>
        <d v="2024-07-05T00:00:00"/>
        <d v="2024-12-05T00:00:00"/>
        <d v="2024-01-21T00:00:00"/>
        <d v="2024-06-21T00:00:00"/>
        <d v="2024-03-23T00:00:00"/>
        <d v="2024-10-25T00:00:00"/>
        <d v="2024-10-02T00:00:00"/>
        <d v="2024-08-14T00:00:00"/>
        <d v="2024-08-13T00:00:00"/>
        <d v="2024-02-21T00:00:00"/>
        <d v="2024-11-20T00:00:00"/>
        <d v="2024-09-13T00:00:00"/>
        <d v="2024-10-28T00:00:00"/>
        <d v="2024-10-30T00:00:00"/>
        <d v="2024-10-20T00:00:00"/>
        <d v="2024-01-26T00:00:00"/>
        <d v="2024-04-26T00:00:00"/>
        <d v="2024-02-03T00:00:00"/>
        <d v="2024-05-18T00:00:00"/>
        <d v="2024-08-06T00:00:00"/>
        <d v="2024-10-11T00:00:00"/>
        <d v="2024-02-06T00:00:00"/>
        <d v="2024-11-15T00:00:00"/>
        <d v="2024-06-24T00:00:00"/>
        <d v="2024-09-14T00:00:00"/>
        <d v="2024-10-17T00:00:00"/>
        <d v="2024-09-07T00:00:00"/>
        <d v="2024-06-04T00:00:00"/>
        <d v="2024-07-25T00:00:00"/>
        <d v="2024-08-24T00:00:00"/>
        <d v="2024-02-27T00:00:00"/>
        <d v="2024-12-20T00:00:00"/>
        <d v="2024-03-20T00:00:00"/>
        <d v="2024-11-04T00:00:00"/>
      </sharedItems>
      <fieldGroup par="8"/>
    </cacheField>
    <cacheField name="Category" numFmtId="0">
      <sharedItems count="3">
        <s v="Maintenance"/>
        <s v="Raw Materials"/>
        <s v="Packaging"/>
      </sharedItems>
    </cacheField>
    <cacheField name="Amount" numFmtId="0">
      <sharedItems containsSemiMixedTypes="0" containsString="0" containsNumber="1" containsInteger="1" minValue="88" maxValue="247934" count="200">
        <n v="73040"/>
        <n v="175345"/>
        <n v="139917"/>
        <n v="158168"/>
        <n v="213302"/>
        <n v="173264"/>
        <n v="128142"/>
        <n v="139262"/>
        <n v="208881"/>
        <n v="211661"/>
        <n v="29913"/>
        <n v="208720"/>
        <n v="56201"/>
        <n v="215661"/>
        <n v="14364"/>
        <n v="84484"/>
        <n v="72853"/>
        <n v="130262"/>
        <n v="75763"/>
        <n v="45345"/>
        <n v="123679"/>
        <n v="119606"/>
        <n v="163296"/>
        <n v="111497"/>
        <n v="87432"/>
        <n v="105101"/>
        <n v="123465"/>
        <n v="104157"/>
        <n v="74555"/>
        <n v="28966"/>
        <n v="230650"/>
        <n v="37949"/>
        <n v="124269"/>
        <n v="55978"/>
        <n v="231964"/>
        <n v="209955"/>
        <n v="178108"/>
        <n v="155553"/>
        <n v="58201"/>
        <n v="175572"/>
        <n v="138207"/>
        <n v="154821"/>
        <n v="243538"/>
        <n v="98155"/>
        <n v="191526"/>
        <n v="146652"/>
        <n v="178958"/>
        <n v="174675"/>
        <n v="201304"/>
        <n v="48345"/>
        <n v="3549"/>
        <n v="214546"/>
        <n v="140843"/>
        <n v="180718"/>
        <n v="76066"/>
        <n v="22514"/>
        <n v="57564"/>
        <n v="195037"/>
        <n v="169411"/>
        <n v="238992"/>
        <n v="88"/>
        <n v="221948"/>
        <n v="167295"/>
        <n v="108526"/>
        <n v="234652"/>
        <n v="111869"/>
        <n v="161594"/>
        <n v="81593"/>
        <n v="76621"/>
        <n v="95685"/>
        <n v="87810"/>
        <n v="113333"/>
        <n v="67625"/>
        <n v="217892"/>
        <n v="133736"/>
        <n v="8695"/>
        <n v="205243"/>
        <n v="141043"/>
        <n v="239060"/>
        <n v="38697"/>
        <n v="131039"/>
        <n v="163239"/>
        <n v="172564"/>
        <n v="199686"/>
        <n v="140461"/>
        <n v="79441"/>
        <n v="173041"/>
        <n v="42060"/>
        <n v="146052"/>
        <n v="18079"/>
        <n v="112565"/>
        <n v="225714"/>
        <n v="81321"/>
        <n v="168054"/>
        <n v="117544"/>
        <n v="155192"/>
        <n v="70203"/>
        <n v="33500"/>
        <n v="198135"/>
        <n v="123009"/>
        <n v="197469"/>
        <n v="86016"/>
        <n v="112844"/>
        <n v="147002"/>
        <n v="67604"/>
        <n v="132293"/>
        <n v="109474"/>
        <n v="227892"/>
        <n v="226326"/>
        <n v="182654"/>
        <n v="166787"/>
        <n v="152455"/>
        <n v="111804"/>
        <n v="207533"/>
        <n v="34116"/>
        <n v="97484"/>
        <n v="6804"/>
        <n v="138131"/>
        <n v="153408"/>
        <n v="146792"/>
        <n v="224936"/>
        <n v="199265"/>
        <n v="192191"/>
        <n v="84502"/>
        <n v="103844"/>
        <n v="47022"/>
        <n v="193318"/>
        <n v="88576"/>
        <n v="115808"/>
        <n v="230039"/>
        <n v="52713"/>
        <n v="3785"/>
        <n v="1090"/>
        <n v="179316"/>
        <n v="40626"/>
        <n v="7768"/>
        <n v="96666"/>
        <n v="149233"/>
        <n v="25686"/>
        <n v="246477"/>
        <n v="28629"/>
        <n v="56708"/>
        <n v="39144"/>
        <n v="238068"/>
        <n v="112213"/>
        <n v="127499"/>
        <n v="225655"/>
        <n v="132234"/>
        <n v="181029"/>
        <n v="111451"/>
        <n v="50411"/>
        <n v="213023"/>
        <n v="34882"/>
        <n v="104825"/>
        <n v="191236"/>
        <n v="189716"/>
        <n v="240067"/>
        <n v="170874"/>
        <n v="138617"/>
        <n v="147597"/>
        <n v="57061"/>
        <n v="118495"/>
        <n v="108867"/>
        <n v="90319"/>
        <n v="115229"/>
        <n v="63851"/>
        <n v="148070"/>
        <n v="127643"/>
        <n v="163215"/>
        <n v="170120"/>
        <n v="38880"/>
        <n v="6810"/>
        <n v="81936"/>
        <n v="188045"/>
        <n v="65372"/>
        <n v="144131"/>
        <n v="213374"/>
        <n v="148495"/>
        <n v="114203"/>
        <n v="247934"/>
        <n v="234710"/>
        <n v="177339"/>
        <n v="139839"/>
        <n v="72282"/>
        <n v="85686"/>
        <n v="197582"/>
        <n v="203219"/>
        <n v="202257"/>
        <n v="216891"/>
        <n v="107850"/>
        <n v="86543"/>
        <n v="52761"/>
        <n v="215426"/>
        <n v="226551"/>
        <n v="31487"/>
        <n v="99386"/>
        <n v="134508"/>
        <n v="200824"/>
        <n v="130750"/>
        <n v="16418"/>
      </sharedItems>
    </cacheField>
    <cacheField name="Payment_Status" numFmtId="0">
      <sharedItems count="2">
        <s v="Paid on Time"/>
        <s v="Paid Late"/>
      </sharedItems>
    </cacheField>
    <cacheField name="Delay_Days" numFmtId="0">
      <sharedItems containsSemiMixedTypes="0" containsString="0" containsNumber="1" containsInteger="1" minValue="0" maxValue="25"/>
    </cacheField>
    <cacheField name="Region" numFmtId="0">
      <sharedItems count="4">
        <s v="West"/>
        <s v="South"/>
        <s v="North"/>
        <s v="East"/>
      </sharedItems>
    </cacheField>
    <cacheField name="Days (Month)" numFmtId="0" databaseField="0">
      <fieldGroup base="1">
        <rangePr groupBy="days" startDate="2024-01-07T00:00:00" endDate="2024-12-29T00:00:00"/>
        <groupItems count="368">
          <s v="&lt;07-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4"/>
        </groupItems>
      </fieldGroup>
    </cacheField>
    <cacheField name="Months (Month)" numFmtId="0" databaseField="0">
      <fieldGroup base="1">
        <rangePr groupBy="months" startDate="2024-01-07T00:00:00" endDate="2024-12-29T00:00:00"/>
        <groupItems count="14">
          <s v="&lt;07-01-2024"/>
          <s v="Jan"/>
          <s v="Feb"/>
          <s v="Mar"/>
          <s v="Apr"/>
          <s v="May"/>
          <s v="Jun"/>
          <s v="Jul"/>
          <s v="Aug"/>
          <s v="Sep"/>
          <s v="Oct"/>
          <s v="Nov"/>
          <s v="Dec"/>
          <s v="&gt;29-12-2024"/>
        </groupItems>
      </fieldGroup>
    </cacheField>
  </cacheFields>
  <extLst>
    <ext xmlns:x14="http://schemas.microsoft.com/office/spreadsheetml/2009/9/main" uri="{725AE2AE-9491-48be-B2B4-4EB974FC3084}">
      <x14:pivotCacheDefinition pivotCacheId="924727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6"/>
    <x v="0"/>
  </r>
  <r>
    <x v="1"/>
    <x v="1"/>
    <x v="1"/>
    <x v="1"/>
    <x v="0"/>
    <n v="3"/>
    <x v="1"/>
  </r>
  <r>
    <x v="2"/>
    <x v="2"/>
    <x v="0"/>
    <x v="2"/>
    <x v="1"/>
    <n v="14"/>
    <x v="2"/>
  </r>
  <r>
    <x v="3"/>
    <x v="3"/>
    <x v="1"/>
    <x v="3"/>
    <x v="0"/>
    <n v="11"/>
    <x v="0"/>
  </r>
  <r>
    <x v="4"/>
    <x v="4"/>
    <x v="0"/>
    <x v="4"/>
    <x v="0"/>
    <n v="1"/>
    <x v="3"/>
  </r>
  <r>
    <x v="5"/>
    <x v="5"/>
    <x v="1"/>
    <x v="5"/>
    <x v="1"/>
    <n v="4"/>
    <x v="3"/>
  </r>
  <r>
    <x v="6"/>
    <x v="6"/>
    <x v="1"/>
    <x v="6"/>
    <x v="1"/>
    <n v="21"/>
    <x v="3"/>
  </r>
  <r>
    <x v="7"/>
    <x v="7"/>
    <x v="2"/>
    <x v="7"/>
    <x v="0"/>
    <n v="4"/>
    <x v="2"/>
  </r>
  <r>
    <x v="8"/>
    <x v="8"/>
    <x v="1"/>
    <x v="8"/>
    <x v="0"/>
    <n v="23"/>
    <x v="1"/>
  </r>
  <r>
    <x v="9"/>
    <x v="9"/>
    <x v="2"/>
    <x v="9"/>
    <x v="0"/>
    <n v="9"/>
    <x v="1"/>
  </r>
  <r>
    <x v="10"/>
    <x v="10"/>
    <x v="1"/>
    <x v="10"/>
    <x v="1"/>
    <n v="8"/>
    <x v="3"/>
  </r>
  <r>
    <x v="11"/>
    <x v="11"/>
    <x v="0"/>
    <x v="11"/>
    <x v="0"/>
    <n v="11"/>
    <x v="2"/>
  </r>
  <r>
    <x v="12"/>
    <x v="12"/>
    <x v="1"/>
    <x v="12"/>
    <x v="0"/>
    <n v="18"/>
    <x v="1"/>
  </r>
  <r>
    <x v="13"/>
    <x v="13"/>
    <x v="0"/>
    <x v="13"/>
    <x v="0"/>
    <n v="4"/>
    <x v="3"/>
  </r>
  <r>
    <x v="14"/>
    <x v="14"/>
    <x v="1"/>
    <x v="14"/>
    <x v="0"/>
    <n v="11"/>
    <x v="2"/>
  </r>
  <r>
    <x v="15"/>
    <x v="15"/>
    <x v="0"/>
    <x v="15"/>
    <x v="0"/>
    <n v="5"/>
    <x v="0"/>
  </r>
  <r>
    <x v="16"/>
    <x v="16"/>
    <x v="0"/>
    <x v="16"/>
    <x v="0"/>
    <n v="24"/>
    <x v="1"/>
  </r>
  <r>
    <x v="17"/>
    <x v="17"/>
    <x v="2"/>
    <x v="17"/>
    <x v="0"/>
    <n v="0"/>
    <x v="3"/>
  </r>
  <r>
    <x v="18"/>
    <x v="18"/>
    <x v="0"/>
    <x v="18"/>
    <x v="0"/>
    <n v="6"/>
    <x v="1"/>
  </r>
  <r>
    <x v="19"/>
    <x v="19"/>
    <x v="0"/>
    <x v="19"/>
    <x v="0"/>
    <n v="15"/>
    <x v="0"/>
  </r>
  <r>
    <x v="20"/>
    <x v="20"/>
    <x v="1"/>
    <x v="20"/>
    <x v="0"/>
    <n v="21"/>
    <x v="2"/>
  </r>
  <r>
    <x v="21"/>
    <x v="12"/>
    <x v="1"/>
    <x v="21"/>
    <x v="0"/>
    <n v="16"/>
    <x v="3"/>
  </r>
  <r>
    <x v="22"/>
    <x v="8"/>
    <x v="1"/>
    <x v="22"/>
    <x v="0"/>
    <n v="8"/>
    <x v="1"/>
  </r>
  <r>
    <x v="23"/>
    <x v="21"/>
    <x v="1"/>
    <x v="23"/>
    <x v="0"/>
    <n v="1"/>
    <x v="3"/>
  </r>
  <r>
    <x v="21"/>
    <x v="22"/>
    <x v="2"/>
    <x v="24"/>
    <x v="0"/>
    <n v="23"/>
    <x v="0"/>
  </r>
  <r>
    <x v="24"/>
    <x v="23"/>
    <x v="0"/>
    <x v="25"/>
    <x v="1"/>
    <n v="17"/>
    <x v="1"/>
  </r>
  <r>
    <x v="7"/>
    <x v="24"/>
    <x v="2"/>
    <x v="26"/>
    <x v="1"/>
    <n v="17"/>
    <x v="1"/>
  </r>
  <r>
    <x v="25"/>
    <x v="25"/>
    <x v="0"/>
    <x v="27"/>
    <x v="1"/>
    <n v="15"/>
    <x v="3"/>
  </r>
  <r>
    <x v="26"/>
    <x v="26"/>
    <x v="2"/>
    <x v="28"/>
    <x v="0"/>
    <n v="7"/>
    <x v="3"/>
  </r>
  <r>
    <x v="27"/>
    <x v="27"/>
    <x v="1"/>
    <x v="29"/>
    <x v="1"/>
    <n v="1"/>
    <x v="2"/>
  </r>
  <r>
    <x v="28"/>
    <x v="28"/>
    <x v="2"/>
    <x v="30"/>
    <x v="0"/>
    <n v="5"/>
    <x v="0"/>
  </r>
  <r>
    <x v="15"/>
    <x v="29"/>
    <x v="0"/>
    <x v="31"/>
    <x v="0"/>
    <n v="5"/>
    <x v="0"/>
  </r>
  <r>
    <x v="29"/>
    <x v="30"/>
    <x v="1"/>
    <x v="32"/>
    <x v="1"/>
    <n v="17"/>
    <x v="3"/>
  </r>
  <r>
    <x v="2"/>
    <x v="31"/>
    <x v="2"/>
    <x v="33"/>
    <x v="0"/>
    <n v="19"/>
    <x v="2"/>
  </r>
  <r>
    <x v="30"/>
    <x v="32"/>
    <x v="1"/>
    <x v="34"/>
    <x v="0"/>
    <n v="17"/>
    <x v="0"/>
  </r>
  <r>
    <x v="31"/>
    <x v="33"/>
    <x v="0"/>
    <x v="35"/>
    <x v="1"/>
    <n v="11"/>
    <x v="2"/>
  </r>
  <r>
    <x v="32"/>
    <x v="34"/>
    <x v="0"/>
    <x v="36"/>
    <x v="1"/>
    <n v="15"/>
    <x v="3"/>
  </r>
  <r>
    <x v="33"/>
    <x v="35"/>
    <x v="0"/>
    <x v="37"/>
    <x v="0"/>
    <n v="21"/>
    <x v="0"/>
  </r>
  <r>
    <x v="34"/>
    <x v="12"/>
    <x v="1"/>
    <x v="38"/>
    <x v="0"/>
    <n v="23"/>
    <x v="3"/>
  </r>
  <r>
    <x v="35"/>
    <x v="36"/>
    <x v="0"/>
    <x v="39"/>
    <x v="1"/>
    <n v="6"/>
    <x v="2"/>
  </r>
  <r>
    <x v="36"/>
    <x v="37"/>
    <x v="0"/>
    <x v="40"/>
    <x v="0"/>
    <n v="8"/>
    <x v="1"/>
  </r>
  <r>
    <x v="37"/>
    <x v="38"/>
    <x v="2"/>
    <x v="41"/>
    <x v="0"/>
    <n v="2"/>
    <x v="2"/>
  </r>
  <r>
    <x v="38"/>
    <x v="0"/>
    <x v="2"/>
    <x v="42"/>
    <x v="1"/>
    <n v="2"/>
    <x v="0"/>
  </r>
  <r>
    <x v="39"/>
    <x v="39"/>
    <x v="0"/>
    <x v="43"/>
    <x v="1"/>
    <n v="14"/>
    <x v="0"/>
  </r>
  <r>
    <x v="40"/>
    <x v="7"/>
    <x v="1"/>
    <x v="44"/>
    <x v="1"/>
    <n v="5"/>
    <x v="0"/>
  </r>
  <r>
    <x v="41"/>
    <x v="40"/>
    <x v="1"/>
    <x v="45"/>
    <x v="1"/>
    <n v="20"/>
    <x v="2"/>
  </r>
  <r>
    <x v="42"/>
    <x v="41"/>
    <x v="0"/>
    <x v="46"/>
    <x v="0"/>
    <n v="0"/>
    <x v="0"/>
  </r>
  <r>
    <x v="43"/>
    <x v="42"/>
    <x v="0"/>
    <x v="47"/>
    <x v="1"/>
    <n v="16"/>
    <x v="2"/>
  </r>
  <r>
    <x v="44"/>
    <x v="43"/>
    <x v="1"/>
    <x v="48"/>
    <x v="1"/>
    <n v="4"/>
    <x v="2"/>
  </r>
  <r>
    <x v="45"/>
    <x v="10"/>
    <x v="0"/>
    <x v="49"/>
    <x v="0"/>
    <n v="22"/>
    <x v="3"/>
  </r>
  <r>
    <x v="46"/>
    <x v="44"/>
    <x v="0"/>
    <x v="50"/>
    <x v="1"/>
    <n v="14"/>
    <x v="3"/>
  </r>
  <r>
    <x v="47"/>
    <x v="45"/>
    <x v="2"/>
    <x v="51"/>
    <x v="1"/>
    <n v="2"/>
    <x v="1"/>
  </r>
  <r>
    <x v="48"/>
    <x v="46"/>
    <x v="2"/>
    <x v="52"/>
    <x v="0"/>
    <n v="21"/>
    <x v="3"/>
  </r>
  <r>
    <x v="49"/>
    <x v="47"/>
    <x v="1"/>
    <x v="53"/>
    <x v="0"/>
    <n v="1"/>
    <x v="1"/>
  </r>
  <r>
    <x v="50"/>
    <x v="48"/>
    <x v="0"/>
    <x v="54"/>
    <x v="1"/>
    <n v="10"/>
    <x v="3"/>
  </r>
  <r>
    <x v="51"/>
    <x v="49"/>
    <x v="1"/>
    <x v="55"/>
    <x v="1"/>
    <n v="1"/>
    <x v="0"/>
  </r>
  <r>
    <x v="52"/>
    <x v="50"/>
    <x v="2"/>
    <x v="56"/>
    <x v="0"/>
    <n v="3"/>
    <x v="1"/>
  </r>
  <r>
    <x v="53"/>
    <x v="51"/>
    <x v="0"/>
    <x v="57"/>
    <x v="1"/>
    <n v="16"/>
    <x v="0"/>
  </r>
  <r>
    <x v="54"/>
    <x v="52"/>
    <x v="1"/>
    <x v="58"/>
    <x v="0"/>
    <n v="6"/>
    <x v="0"/>
  </r>
  <r>
    <x v="3"/>
    <x v="53"/>
    <x v="1"/>
    <x v="59"/>
    <x v="0"/>
    <n v="13"/>
    <x v="0"/>
  </r>
  <r>
    <x v="30"/>
    <x v="54"/>
    <x v="1"/>
    <x v="60"/>
    <x v="1"/>
    <n v="2"/>
    <x v="2"/>
  </r>
  <r>
    <x v="55"/>
    <x v="55"/>
    <x v="1"/>
    <x v="61"/>
    <x v="1"/>
    <n v="21"/>
    <x v="2"/>
  </r>
  <r>
    <x v="56"/>
    <x v="49"/>
    <x v="0"/>
    <x v="62"/>
    <x v="0"/>
    <n v="10"/>
    <x v="0"/>
  </r>
  <r>
    <x v="57"/>
    <x v="56"/>
    <x v="0"/>
    <x v="63"/>
    <x v="0"/>
    <n v="25"/>
    <x v="2"/>
  </r>
  <r>
    <x v="58"/>
    <x v="57"/>
    <x v="1"/>
    <x v="64"/>
    <x v="0"/>
    <n v="5"/>
    <x v="3"/>
  </r>
  <r>
    <x v="31"/>
    <x v="58"/>
    <x v="0"/>
    <x v="65"/>
    <x v="1"/>
    <n v="18"/>
    <x v="3"/>
  </r>
  <r>
    <x v="59"/>
    <x v="59"/>
    <x v="2"/>
    <x v="66"/>
    <x v="1"/>
    <n v="22"/>
    <x v="1"/>
  </r>
  <r>
    <x v="60"/>
    <x v="60"/>
    <x v="2"/>
    <x v="67"/>
    <x v="0"/>
    <n v="23"/>
    <x v="2"/>
  </r>
  <r>
    <x v="61"/>
    <x v="61"/>
    <x v="1"/>
    <x v="68"/>
    <x v="0"/>
    <n v="6"/>
    <x v="1"/>
  </r>
  <r>
    <x v="62"/>
    <x v="62"/>
    <x v="2"/>
    <x v="69"/>
    <x v="0"/>
    <n v="11"/>
    <x v="1"/>
  </r>
  <r>
    <x v="63"/>
    <x v="63"/>
    <x v="1"/>
    <x v="70"/>
    <x v="1"/>
    <n v="14"/>
    <x v="2"/>
  </r>
  <r>
    <x v="64"/>
    <x v="64"/>
    <x v="2"/>
    <x v="71"/>
    <x v="0"/>
    <n v="19"/>
    <x v="2"/>
  </r>
  <r>
    <x v="7"/>
    <x v="34"/>
    <x v="0"/>
    <x v="72"/>
    <x v="0"/>
    <n v="23"/>
    <x v="0"/>
  </r>
  <r>
    <x v="65"/>
    <x v="65"/>
    <x v="2"/>
    <x v="73"/>
    <x v="1"/>
    <n v="13"/>
    <x v="2"/>
  </r>
  <r>
    <x v="66"/>
    <x v="66"/>
    <x v="0"/>
    <x v="74"/>
    <x v="0"/>
    <n v="18"/>
    <x v="2"/>
  </r>
  <r>
    <x v="67"/>
    <x v="67"/>
    <x v="1"/>
    <x v="75"/>
    <x v="0"/>
    <n v="20"/>
    <x v="0"/>
  </r>
  <r>
    <x v="68"/>
    <x v="68"/>
    <x v="2"/>
    <x v="76"/>
    <x v="0"/>
    <n v="15"/>
    <x v="2"/>
  </r>
  <r>
    <x v="69"/>
    <x v="69"/>
    <x v="2"/>
    <x v="77"/>
    <x v="0"/>
    <n v="16"/>
    <x v="2"/>
  </r>
  <r>
    <x v="34"/>
    <x v="70"/>
    <x v="1"/>
    <x v="78"/>
    <x v="1"/>
    <n v="20"/>
    <x v="0"/>
  </r>
  <r>
    <x v="70"/>
    <x v="12"/>
    <x v="1"/>
    <x v="79"/>
    <x v="0"/>
    <n v="7"/>
    <x v="3"/>
  </r>
  <r>
    <x v="71"/>
    <x v="71"/>
    <x v="1"/>
    <x v="80"/>
    <x v="0"/>
    <n v="19"/>
    <x v="1"/>
  </r>
  <r>
    <x v="72"/>
    <x v="72"/>
    <x v="0"/>
    <x v="81"/>
    <x v="1"/>
    <n v="6"/>
    <x v="1"/>
  </r>
  <r>
    <x v="73"/>
    <x v="73"/>
    <x v="1"/>
    <x v="82"/>
    <x v="1"/>
    <n v="21"/>
    <x v="3"/>
  </r>
  <r>
    <x v="74"/>
    <x v="70"/>
    <x v="0"/>
    <x v="83"/>
    <x v="0"/>
    <n v="10"/>
    <x v="1"/>
  </r>
  <r>
    <x v="75"/>
    <x v="74"/>
    <x v="2"/>
    <x v="84"/>
    <x v="1"/>
    <n v="8"/>
    <x v="2"/>
  </r>
  <r>
    <x v="76"/>
    <x v="75"/>
    <x v="1"/>
    <x v="85"/>
    <x v="1"/>
    <n v="9"/>
    <x v="3"/>
  </r>
  <r>
    <x v="77"/>
    <x v="76"/>
    <x v="0"/>
    <x v="86"/>
    <x v="0"/>
    <n v="22"/>
    <x v="0"/>
  </r>
  <r>
    <x v="78"/>
    <x v="77"/>
    <x v="1"/>
    <x v="87"/>
    <x v="1"/>
    <n v="20"/>
    <x v="3"/>
  </r>
  <r>
    <x v="79"/>
    <x v="75"/>
    <x v="0"/>
    <x v="88"/>
    <x v="0"/>
    <n v="20"/>
    <x v="2"/>
  </r>
  <r>
    <x v="80"/>
    <x v="78"/>
    <x v="0"/>
    <x v="89"/>
    <x v="0"/>
    <n v="21"/>
    <x v="0"/>
  </r>
  <r>
    <x v="81"/>
    <x v="79"/>
    <x v="2"/>
    <x v="90"/>
    <x v="1"/>
    <n v="1"/>
    <x v="3"/>
  </r>
  <r>
    <x v="82"/>
    <x v="64"/>
    <x v="0"/>
    <x v="91"/>
    <x v="1"/>
    <n v="9"/>
    <x v="3"/>
  </r>
  <r>
    <x v="83"/>
    <x v="80"/>
    <x v="0"/>
    <x v="92"/>
    <x v="0"/>
    <n v="16"/>
    <x v="1"/>
  </r>
  <r>
    <x v="84"/>
    <x v="64"/>
    <x v="2"/>
    <x v="93"/>
    <x v="1"/>
    <n v="14"/>
    <x v="0"/>
  </r>
  <r>
    <x v="85"/>
    <x v="81"/>
    <x v="0"/>
    <x v="94"/>
    <x v="1"/>
    <n v="23"/>
    <x v="1"/>
  </r>
  <r>
    <x v="86"/>
    <x v="82"/>
    <x v="1"/>
    <x v="95"/>
    <x v="0"/>
    <n v="1"/>
    <x v="0"/>
  </r>
  <r>
    <x v="87"/>
    <x v="83"/>
    <x v="0"/>
    <x v="96"/>
    <x v="0"/>
    <n v="25"/>
    <x v="3"/>
  </r>
  <r>
    <x v="88"/>
    <x v="84"/>
    <x v="0"/>
    <x v="97"/>
    <x v="0"/>
    <n v="13"/>
    <x v="3"/>
  </r>
  <r>
    <x v="89"/>
    <x v="85"/>
    <x v="2"/>
    <x v="98"/>
    <x v="1"/>
    <n v="9"/>
    <x v="2"/>
  </r>
  <r>
    <x v="90"/>
    <x v="86"/>
    <x v="0"/>
    <x v="99"/>
    <x v="0"/>
    <n v="13"/>
    <x v="3"/>
  </r>
  <r>
    <x v="79"/>
    <x v="87"/>
    <x v="0"/>
    <x v="100"/>
    <x v="1"/>
    <n v="5"/>
    <x v="1"/>
  </r>
  <r>
    <x v="15"/>
    <x v="6"/>
    <x v="0"/>
    <x v="101"/>
    <x v="1"/>
    <n v="17"/>
    <x v="3"/>
  </r>
  <r>
    <x v="91"/>
    <x v="13"/>
    <x v="0"/>
    <x v="102"/>
    <x v="0"/>
    <n v="6"/>
    <x v="1"/>
  </r>
  <r>
    <x v="92"/>
    <x v="88"/>
    <x v="2"/>
    <x v="103"/>
    <x v="1"/>
    <n v="7"/>
    <x v="2"/>
  </r>
  <r>
    <x v="93"/>
    <x v="89"/>
    <x v="0"/>
    <x v="104"/>
    <x v="0"/>
    <n v="14"/>
    <x v="3"/>
  </r>
  <r>
    <x v="94"/>
    <x v="90"/>
    <x v="2"/>
    <x v="105"/>
    <x v="1"/>
    <n v="25"/>
    <x v="0"/>
  </r>
  <r>
    <x v="30"/>
    <x v="91"/>
    <x v="2"/>
    <x v="106"/>
    <x v="0"/>
    <n v="13"/>
    <x v="1"/>
  </r>
  <r>
    <x v="95"/>
    <x v="92"/>
    <x v="2"/>
    <x v="107"/>
    <x v="0"/>
    <n v="4"/>
    <x v="1"/>
  </r>
  <r>
    <x v="96"/>
    <x v="93"/>
    <x v="1"/>
    <x v="108"/>
    <x v="0"/>
    <n v="19"/>
    <x v="0"/>
  </r>
  <r>
    <x v="97"/>
    <x v="94"/>
    <x v="1"/>
    <x v="109"/>
    <x v="1"/>
    <n v="9"/>
    <x v="3"/>
  </r>
  <r>
    <x v="98"/>
    <x v="23"/>
    <x v="2"/>
    <x v="110"/>
    <x v="0"/>
    <n v="18"/>
    <x v="3"/>
  </r>
  <r>
    <x v="89"/>
    <x v="95"/>
    <x v="1"/>
    <x v="111"/>
    <x v="1"/>
    <n v="12"/>
    <x v="1"/>
  </r>
  <r>
    <x v="99"/>
    <x v="96"/>
    <x v="1"/>
    <x v="112"/>
    <x v="1"/>
    <n v="21"/>
    <x v="3"/>
  </r>
  <r>
    <x v="100"/>
    <x v="97"/>
    <x v="1"/>
    <x v="113"/>
    <x v="1"/>
    <n v="9"/>
    <x v="2"/>
  </r>
  <r>
    <x v="101"/>
    <x v="98"/>
    <x v="2"/>
    <x v="114"/>
    <x v="0"/>
    <n v="24"/>
    <x v="0"/>
  </r>
  <r>
    <x v="102"/>
    <x v="99"/>
    <x v="2"/>
    <x v="115"/>
    <x v="0"/>
    <n v="19"/>
    <x v="1"/>
  </r>
  <r>
    <x v="42"/>
    <x v="100"/>
    <x v="2"/>
    <x v="116"/>
    <x v="0"/>
    <n v="18"/>
    <x v="0"/>
  </r>
  <r>
    <x v="103"/>
    <x v="101"/>
    <x v="2"/>
    <x v="117"/>
    <x v="0"/>
    <n v="2"/>
    <x v="2"/>
  </r>
  <r>
    <x v="11"/>
    <x v="102"/>
    <x v="0"/>
    <x v="118"/>
    <x v="0"/>
    <n v="3"/>
    <x v="3"/>
  </r>
  <r>
    <x v="104"/>
    <x v="103"/>
    <x v="1"/>
    <x v="119"/>
    <x v="1"/>
    <n v="1"/>
    <x v="2"/>
  </r>
  <r>
    <x v="105"/>
    <x v="26"/>
    <x v="1"/>
    <x v="120"/>
    <x v="0"/>
    <n v="20"/>
    <x v="3"/>
  </r>
  <r>
    <x v="68"/>
    <x v="104"/>
    <x v="0"/>
    <x v="121"/>
    <x v="1"/>
    <n v="12"/>
    <x v="2"/>
  </r>
  <r>
    <x v="106"/>
    <x v="105"/>
    <x v="0"/>
    <x v="122"/>
    <x v="0"/>
    <n v="8"/>
    <x v="2"/>
  </r>
  <r>
    <x v="66"/>
    <x v="106"/>
    <x v="2"/>
    <x v="123"/>
    <x v="1"/>
    <n v="13"/>
    <x v="2"/>
  </r>
  <r>
    <x v="107"/>
    <x v="107"/>
    <x v="1"/>
    <x v="124"/>
    <x v="0"/>
    <n v="0"/>
    <x v="1"/>
  </r>
  <r>
    <x v="108"/>
    <x v="108"/>
    <x v="0"/>
    <x v="125"/>
    <x v="1"/>
    <n v="6"/>
    <x v="3"/>
  </r>
  <r>
    <x v="25"/>
    <x v="109"/>
    <x v="0"/>
    <x v="126"/>
    <x v="1"/>
    <n v="1"/>
    <x v="3"/>
  </r>
  <r>
    <x v="109"/>
    <x v="95"/>
    <x v="0"/>
    <x v="127"/>
    <x v="1"/>
    <n v="23"/>
    <x v="1"/>
  </r>
  <r>
    <x v="19"/>
    <x v="85"/>
    <x v="2"/>
    <x v="128"/>
    <x v="0"/>
    <n v="2"/>
    <x v="0"/>
  </r>
  <r>
    <x v="43"/>
    <x v="110"/>
    <x v="0"/>
    <x v="129"/>
    <x v="1"/>
    <n v="24"/>
    <x v="1"/>
  </r>
  <r>
    <x v="94"/>
    <x v="111"/>
    <x v="0"/>
    <x v="130"/>
    <x v="1"/>
    <n v="11"/>
    <x v="0"/>
  </r>
  <r>
    <x v="70"/>
    <x v="112"/>
    <x v="2"/>
    <x v="131"/>
    <x v="0"/>
    <n v="20"/>
    <x v="1"/>
  </r>
  <r>
    <x v="110"/>
    <x v="113"/>
    <x v="0"/>
    <x v="132"/>
    <x v="1"/>
    <n v="11"/>
    <x v="1"/>
  </r>
  <r>
    <x v="91"/>
    <x v="65"/>
    <x v="1"/>
    <x v="133"/>
    <x v="1"/>
    <n v="19"/>
    <x v="0"/>
  </r>
  <r>
    <x v="111"/>
    <x v="114"/>
    <x v="0"/>
    <x v="134"/>
    <x v="1"/>
    <n v="20"/>
    <x v="3"/>
  </r>
  <r>
    <x v="112"/>
    <x v="115"/>
    <x v="1"/>
    <x v="135"/>
    <x v="0"/>
    <n v="20"/>
    <x v="2"/>
  </r>
  <r>
    <x v="113"/>
    <x v="116"/>
    <x v="0"/>
    <x v="136"/>
    <x v="1"/>
    <n v="1"/>
    <x v="2"/>
  </r>
  <r>
    <x v="114"/>
    <x v="117"/>
    <x v="1"/>
    <x v="137"/>
    <x v="1"/>
    <n v="21"/>
    <x v="3"/>
  </r>
  <r>
    <x v="93"/>
    <x v="118"/>
    <x v="0"/>
    <x v="138"/>
    <x v="1"/>
    <n v="16"/>
    <x v="2"/>
  </r>
  <r>
    <x v="115"/>
    <x v="119"/>
    <x v="0"/>
    <x v="139"/>
    <x v="1"/>
    <n v="13"/>
    <x v="0"/>
  </r>
  <r>
    <x v="116"/>
    <x v="10"/>
    <x v="2"/>
    <x v="140"/>
    <x v="1"/>
    <n v="19"/>
    <x v="3"/>
  </r>
  <r>
    <x v="117"/>
    <x v="120"/>
    <x v="2"/>
    <x v="141"/>
    <x v="1"/>
    <n v="13"/>
    <x v="1"/>
  </r>
  <r>
    <x v="79"/>
    <x v="121"/>
    <x v="1"/>
    <x v="142"/>
    <x v="0"/>
    <n v="12"/>
    <x v="2"/>
  </r>
  <r>
    <x v="34"/>
    <x v="122"/>
    <x v="0"/>
    <x v="143"/>
    <x v="1"/>
    <n v="24"/>
    <x v="2"/>
  </r>
  <r>
    <x v="115"/>
    <x v="123"/>
    <x v="1"/>
    <x v="144"/>
    <x v="0"/>
    <n v="2"/>
    <x v="1"/>
  </r>
  <r>
    <x v="59"/>
    <x v="21"/>
    <x v="0"/>
    <x v="145"/>
    <x v="1"/>
    <n v="8"/>
    <x v="1"/>
  </r>
  <r>
    <x v="115"/>
    <x v="124"/>
    <x v="0"/>
    <x v="146"/>
    <x v="1"/>
    <n v="17"/>
    <x v="1"/>
  </r>
  <r>
    <x v="118"/>
    <x v="125"/>
    <x v="1"/>
    <x v="147"/>
    <x v="0"/>
    <n v="23"/>
    <x v="1"/>
  </r>
  <r>
    <x v="119"/>
    <x v="126"/>
    <x v="1"/>
    <x v="148"/>
    <x v="1"/>
    <n v="20"/>
    <x v="1"/>
  </r>
  <r>
    <x v="120"/>
    <x v="127"/>
    <x v="0"/>
    <x v="149"/>
    <x v="0"/>
    <n v="7"/>
    <x v="0"/>
  </r>
  <r>
    <x v="121"/>
    <x v="128"/>
    <x v="1"/>
    <x v="150"/>
    <x v="0"/>
    <n v="16"/>
    <x v="2"/>
  </r>
  <r>
    <x v="122"/>
    <x v="97"/>
    <x v="0"/>
    <x v="151"/>
    <x v="0"/>
    <n v="6"/>
    <x v="1"/>
  </r>
  <r>
    <x v="123"/>
    <x v="129"/>
    <x v="0"/>
    <x v="152"/>
    <x v="1"/>
    <n v="22"/>
    <x v="1"/>
  </r>
  <r>
    <x v="124"/>
    <x v="130"/>
    <x v="2"/>
    <x v="153"/>
    <x v="0"/>
    <n v="2"/>
    <x v="2"/>
  </r>
  <r>
    <x v="125"/>
    <x v="131"/>
    <x v="0"/>
    <x v="154"/>
    <x v="0"/>
    <n v="21"/>
    <x v="0"/>
  </r>
  <r>
    <x v="52"/>
    <x v="132"/>
    <x v="2"/>
    <x v="155"/>
    <x v="0"/>
    <n v="5"/>
    <x v="2"/>
  </r>
  <r>
    <x v="99"/>
    <x v="133"/>
    <x v="2"/>
    <x v="156"/>
    <x v="0"/>
    <n v="13"/>
    <x v="3"/>
  </r>
  <r>
    <x v="3"/>
    <x v="134"/>
    <x v="2"/>
    <x v="157"/>
    <x v="0"/>
    <n v="4"/>
    <x v="2"/>
  </r>
  <r>
    <x v="126"/>
    <x v="135"/>
    <x v="0"/>
    <x v="158"/>
    <x v="0"/>
    <n v="10"/>
    <x v="3"/>
  </r>
  <r>
    <x v="19"/>
    <x v="136"/>
    <x v="0"/>
    <x v="159"/>
    <x v="1"/>
    <n v="5"/>
    <x v="2"/>
  </r>
  <r>
    <x v="127"/>
    <x v="137"/>
    <x v="1"/>
    <x v="160"/>
    <x v="1"/>
    <n v="22"/>
    <x v="1"/>
  </r>
  <r>
    <x v="128"/>
    <x v="63"/>
    <x v="2"/>
    <x v="161"/>
    <x v="0"/>
    <n v="21"/>
    <x v="1"/>
  </r>
  <r>
    <x v="129"/>
    <x v="138"/>
    <x v="1"/>
    <x v="162"/>
    <x v="1"/>
    <n v="12"/>
    <x v="1"/>
  </r>
  <r>
    <x v="130"/>
    <x v="139"/>
    <x v="0"/>
    <x v="163"/>
    <x v="0"/>
    <n v="23"/>
    <x v="0"/>
  </r>
  <r>
    <x v="110"/>
    <x v="10"/>
    <x v="2"/>
    <x v="164"/>
    <x v="1"/>
    <n v="25"/>
    <x v="2"/>
  </r>
  <r>
    <x v="131"/>
    <x v="17"/>
    <x v="1"/>
    <x v="165"/>
    <x v="0"/>
    <n v="0"/>
    <x v="1"/>
  </r>
  <r>
    <x v="132"/>
    <x v="102"/>
    <x v="0"/>
    <x v="166"/>
    <x v="0"/>
    <n v="20"/>
    <x v="2"/>
  </r>
  <r>
    <x v="133"/>
    <x v="140"/>
    <x v="0"/>
    <x v="167"/>
    <x v="0"/>
    <n v="23"/>
    <x v="3"/>
  </r>
  <r>
    <x v="134"/>
    <x v="141"/>
    <x v="2"/>
    <x v="168"/>
    <x v="1"/>
    <n v="9"/>
    <x v="1"/>
  </r>
  <r>
    <x v="135"/>
    <x v="142"/>
    <x v="0"/>
    <x v="169"/>
    <x v="1"/>
    <n v="3"/>
    <x v="1"/>
  </r>
  <r>
    <x v="136"/>
    <x v="23"/>
    <x v="0"/>
    <x v="170"/>
    <x v="1"/>
    <n v="15"/>
    <x v="2"/>
  </r>
  <r>
    <x v="137"/>
    <x v="143"/>
    <x v="1"/>
    <x v="171"/>
    <x v="1"/>
    <n v="7"/>
    <x v="2"/>
  </r>
  <r>
    <x v="138"/>
    <x v="34"/>
    <x v="0"/>
    <x v="172"/>
    <x v="0"/>
    <n v="16"/>
    <x v="1"/>
  </r>
  <r>
    <x v="139"/>
    <x v="84"/>
    <x v="0"/>
    <x v="173"/>
    <x v="0"/>
    <n v="3"/>
    <x v="2"/>
  </r>
  <r>
    <x v="140"/>
    <x v="144"/>
    <x v="2"/>
    <x v="174"/>
    <x v="1"/>
    <n v="17"/>
    <x v="0"/>
  </r>
  <r>
    <x v="141"/>
    <x v="145"/>
    <x v="2"/>
    <x v="175"/>
    <x v="0"/>
    <n v="25"/>
    <x v="2"/>
  </r>
  <r>
    <x v="40"/>
    <x v="146"/>
    <x v="1"/>
    <x v="176"/>
    <x v="0"/>
    <n v="23"/>
    <x v="0"/>
  </r>
  <r>
    <x v="48"/>
    <x v="147"/>
    <x v="1"/>
    <x v="177"/>
    <x v="0"/>
    <n v="13"/>
    <x v="1"/>
  </r>
  <r>
    <x v="142"/>
    <x v="57"/>
    <x v="0"/>
    <x v="178"/>
    <x v="1"/>
    <n v="10"/>
    <x v="0"/>
  </r>
  <r>
    <x v="143"/>
    <x v="148"/>
    <x v="0"/>
    <x v="179"/>
    <x v="0"/>
    <n v="13"/>
    <x v="2"/>
  </r>
  <r>
    <x v="118"/>
    <x v="149"/>
    <x v="0"/>
    <x v="180"/>
    <x v="0"/>
    <n v="5"/>
    <x v="1"/>
  </r>
  <r>
    <x v="17"/>
    <x v="150"/>
    <x v="2"/>
    <x v="181"/>
    <x v="1"/>
    <n v="8"/>
    <x v="0"/>
  </r>
  <r>
    <x v="133"/>
    <x v="151"/>
    <x v="0"/>
    <x v="182"/>
    <x v="1"/>
    <n v="13"/>
    <x v="2"/>
  </r>
  <r>
    <x v="144"/>
    <x v="152"/>
    <x v="0"/>
    <x v="183"/>
    <x v="0"/>
    <n v="9"/>
    <x v="2"/>
  </r>
  <r>
    <x v="145"/>
    <x v="153"/>
    <x v="0"/>
    <x v="184"/>
    <x v="1"/>
    <n v="10"/>
    <x v="0"/>
  </r>
  <r>
    <x v="146"/>
    <x v="63"/>
    <x v="2"/>
    <x v="185"/>
    <x v="0"/>
    <n v="10"/>
    <x v="1"/>
  </r>
  <r>
    <x v="99"/>
    <x v="114"/>
    <x v="1"/>
    <x v="186"/>
    <x v="0"/>
    <n v="11"/>
    <x v="2"/>
  </r>
  <r>
    <x v="147"/>
    <x v="154"/>
    <x v="0"/>
    <x v="187"/>
    <x v="1"/>
    <n v="5"/>
    <x v="0"/>
  </r>
  <r>
    <x v="148"/>
    <x v="127"/>
    <x v="2"/>
    <x v="188"/>
    <x v="1"/>
    <n v="0"/>
    <x v="3"/>
  </r>
  <r>
    <x v="149"/>
    <x v="21"/>
    <x v="0"/>
    <x v="189"/>
    <x v="1"/>
    <n v="2"/>
    <x v="3"/>
  </r>
  <r>
    <x v="150"/>
    <x v="155"/>
    <x v="0"/>
    <x v="190"/>
    <x v="0"/>
    <n v="24"/>
    <x v="0"/>
  </r>
  <r>
    <x v="63"/>
    <x v="156"/>
    <x v="1"/>
    <x v="191"/>
    <x v="0"/>
    <n v="2"/>
    <x v="1"/>
  </r>
  <r>
    <x v="151"/>
    <x v="152"/>
    <x v="2"/>
    <x v="192"/>
    <x v="0"/>
    <n v="23"/>
    <x v="0"/>
  </r>
  <r>
    <x v="119"/>
    <x v="157"/>
    <x v="0"/>
    <x v="193"/>
    <x v="0"/>
    <n v="23"/>
    <x v="3"/>
  </r>
  <r>
    <x v="8"/>
    <x v="29"/>
    <x v="1"/>
    <x v="194"/>
    <x v="1"/>
    <n v="3"/>
    <x v="1"/>
  </r>
  <r>
    <x v="152"/>
    <x v="10"/>
    <x v="2"/>
    <x v="195"/>
    <x v="0"/>
    <n v="4"/>
    <x v="0"/>
  </r>
  <r>
    <x v="153"/>
    <x v="158"/>
    <x v="2"/>
    <x v="196"/>
    <x v="0"/>
    <n v="9"/>
    <x v="2"/>
  </r>
  <r>
    <x v="154"/>
    <x v="20"/>
    <x v="0"/>
    <x v="197"/>
    <x v="0"/>
    <n v="3"/>
    <x v="0"/>
  </r>
  <r>
    <x v="155"/>
    <x v="43"/>
    <x v="0"/>
    <x v="198"/>
    <x v="0"/>
    <n v="0"/>
    <x v="3"/>
  </r>
  <r>
    <x v="156"/>
    <x v="19"/>
    <x v="2"/>
    <x v="199"/>
    <x v="1"/>
    <n v="1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00774-DF11-4A67-B143-5606E994F02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7" firstHeaderRow="1" firstDataRow="1" firstDataCol="1"/>
  <pivotFields count="9">
    <pivotField showAll="0"/>
    <pivotField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axis="axisRow" showAll="0">
      <items count="4">
        <item x="0"/>
        <item x="2"/>
        <item x="1"/>
        <item t="default"/>
      </items>
    </pivotField>
    <pivotField showAll="0">
      <items count="201">
        <item x="60"/>
        <item x="132"/>
        <item x="50"/>
        <item x="131"/>
        <item x="116"/>
        <item x="171"/>
        <item x="135"/>
        <item x="75"/>
        <item x="14"/>
        <item x="199"/>
        <item x="89"/>
        <item x="55"/>
        <item x="138"/>
        <item x="140"/>
        <item x="29"/>
        <item x="10"/>
        <item x="194"/>
        <item x="97"/>
        <item x="114"/>
        <item x="152"/>
        <item x="31"/>
        <item x="79"/>
        <item x="170"/>
        <item x="142"/>
        <item x="134"/>
        <item x="87"/>
        <item x="19"/>
        <item x="125"/>
        <item x="49"/>
        <item x="150"/>
        <item x="130"/>
        <item x="191"/>
        <item x="33"/>
        <item x="12"/>
        <item x="141"/>
        <item x="160"/>
        <item x="56"/>
        <item x="38"/>
        <item x="165"/>
        <item x="174"/>
        <item x="104"/>
        <item x="72"/>
        <item x="96"/>
        <item x="183"/>
        <item x="16"/>
        <item x="0"/>
        <item x="28"/>
        <item x="18"/>
        <item x="54"/>
        <item x="68"/>
        <item x="85"/>
        <item x="92"/>
        <item x="67"/>
        <item x="172"/>
        <item x="15"/>
        <item x="123"/>
        <item x="184"/>
        <item x="101"/>
        <item x="190"/>
        <item x="24"/>
        <item x="70"/>
        <item x="127"/>
        <item x="163"/>
        <item x="69"/>
        <item x="136"/>
        <item x="115"/>
        <item x="43"/>
        <item x="195"/>
        <item x="124"/>
        <item x="27"/>
        <item x="153"/>
        <item x="25"/>
        <item x="189"/>
        <item x="63"/>
        <item x="162"/>
        <item x="106"/>
        <item x="149"/>
        <item x="23"/>
        <item x="112"/>
        <item x="65"/>
        <item x="144"/>
        <item x="90"/>
        <item x="102"/>
        <item x="71"/>
        <item x="178"/>
        <item x="164"/>
        <item x="128"/>
        <item x="94"/>
        <item x="161"/>
        <item x="21"/>
        <item x="99"/>
        <item x="26"/>
        <item x="20"/>
        <item x="32"/>
        <item x="145"/>
        <item x="167"/>
        <item x="6"/>
        <item x="17"/>
        <item x="198"/>
        <item x="80"/>
        <item x="147"/>
        <item x="105"/>
        <item x="74"/>
        <item x="196"/>
        <item x="117"/>
        <item x="40"/>
        <item x="158"/>
        <item x="7"/>
        <item x="182"/>
        <item x="2"/>
        <item x="84"/>
        <item x="52"/>
        <item x="77"/>
        <item x="175"/>
        <item x="88"/>
        <item x="45"/>
        <item x="119"/>
        <item x="103"/>
        <item x="159"/>
        <item x="166"/>
        <item x="177"/>
        <item x="137"/>
        <item x="111"/>
        <item x="118"/>
        <item x="41"/>
        <item x="95"/>
        <item x="37"/>
        <item x="3"/>
        <item x="66"/>
        <item x="168"/>
        <item x="81"/>
        <item x="22"/>
        <item x="110"/>
        <item x="62"/>
        <item x="93"/>
        <item x="58"/>
        <item x="169"/>
        <item x="157"/>
        <item x="82"/>
        <item x="86"/>
        <item x="5"/>
        <item x="47"/>
        <item x="1"/>
        <item x="39"/>
        <item x="181"/>
        <item x="36"/>
        <item x="46"/>
        <item x="133"/>
        <item x="53"/>
        <item x="148"/>
        <item x="109"/>
        <item x="173"/>
        <item x="155"/>
        <item x="154"/>
        <item x="44"/>
        <item x="122"/>
        <item x="126"/>
        <item x="57"/>
        <item x="100"/>
        <item x="185"/>
        <item x="98"/>
        <item x="121"/>
        <item x="83"/>
        <item x="197"/>
        <item x="48"/>
        <item x="187"/>
        <item x="186"/>
        <item x="76"/>
        <item x="113"/>
        <item x="11"/>
        <item x="8"/>
        <item x="35"/>
        <item x="9"/>
        <item x="151"/>
        <item x="4"/>
        <item x="176"/>
        <item x="51"/>
        <item x="192"/>
        <item x="13"/>
        <item x="188"/>
        <item x="73"/>
        <item x="61"/>
        <item x="120"/>
        <item x="146"/>
        <item x="91"/>
        <item x="108"/>
        <item x="193"/>
        <item x="107"/>
        <item x="129"/>
        <item x="30"/>
        <item x="34"/>
        <item x="64"/>
        <item x="180"/>
        <item x="143"/>
        <item x="59"/>
        <item x="78"/>
        <item x="156"/>
        <item x="42"/>
        <item x="139"/>
        <item x="179"/>
        <item t="default"/>
      </items>
    </pivotField>
    <pivotField showAll="0"/>
    <pivotField showAll="0"/>
    <pivotField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C661B2-6A37-4FA4-9D5B-1A6B4044DDF4}"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M20:M21" firstHeaderRow="1" firstDataRow="1" firstDataCol="0"/>
  <pivotFields count="9">
    <pivotField showAll="0"/>
    <pivotField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showAll="0">
      <items count="4">
        <item x="0"/>
        <item x="2"/>
        <item x="1"/>
        <item t="default"/>
      </items>
    </pivotField>
    <pivotField showAll="0">
      <items count="201">
        <item x="60"/>
        <item x="132"/>
        <item x="50"/>
        <item x="131"/>
        <item x="116"/>
        <item x="171"/>
        <item x="135"/>
        <item x="75"/>
        <item x="14"/>
        <item x="199"/>
        <item x="89"/>
        <item x="55"/>
        <item x="138"/>
        <item x="140"/>
        <item x="29"/>
        <item x="10"/>
        <item x="194"/>
        <item x="97"/>
        <item x="114"/>
        <item x="152"/>
        <item x="31"/>
        <item x="79"/>
        <item x="170"/>
        <item x="142"/>
        <item x="134"/>
        <item x="87"/>
        <item x="19"/>
        <item x="125"/>
        <item x="49"/>
        <item x="150"/>
        <item x="130"/>
        <item x="191"/>
        <item x="33"/>
        <item x="12"/>
        <item x="141"/>
        <item x="160"/>
        <item x="56"/>
        <item x="38"/>
        <item x="165"/>
        <item x="174"/>
        <item x="104"/>
        <item x="72"/>
        <item x="96"/>
        <item x="183"/>
        <item x="16"/>
        <item x="0"/>
        <item x="28"/>
        <item x="18"/>
        <item x="54"/>
        <item x="68"/>
        <item x="85"/>
        <item x="92"/>
        <item x="67"/>
        <item x="172"/>
        <item x="15"/>
        <item x="123"/>
        <item x="184"/>
        <item x="101"/>
        <item x="190"/>
        <item x="24"/>
        <item x="70"/>
        <item x="127"/>
        <item x="163"/>
        <item x="69"/>
        <item x="136"/>
        <item x="115"/>
        <item x="43"/>
        <item x="195"/>
        <item x="124"/>
        <item x="27"/>
        <item x="153"/>
        <item x="25"/>
        <item x="189"/>
        <item x="63"/>
        <item x="162"/>
        <item x="106"/>
        <item x="149"/>
        <item x="23"/>
        <item x="112"/>
        <item x="65"/>
        <item x="144"/>
        <item x="90"/>
        <item x="102"/>
        <item x="71"/>
        <item x="178"/>
        <item x="164"/>
        <item x="128"/>
        <item x="94"/>
        <item x="161"/>
        <item x="21"/>
        <item x="99"/>
        <item x="26"/>
        <item x="20"/>
        <item x="32"/>
        <item x="145"/>
        <item x="167"/>
        <item x="6"/>
        <item x="17"/>
        <item x="198"/>
        <item x="80"/>
        <item x="147"/>
        <item x="105"/>
        <item x="74"/>
        <item x="196"/>
        <item x="117"/>
        <item x="40"/>
        <item x="158"/>
        <item x="7"/>
        <item x="182"/>
        <item x="2"/>
        <item x="84"/>
        <item x="52"/>
        <item x="77"/>
        <item x="175"/>
        <item x="88"/>
        <item x="45"/>
        <item x="119"/>
        <item x="103"/>
        <item x="159"/>
        <item x="166"/>
        <item x="177"/>
        <item x="137"/>
        <item x="111"/>
        <item x="118"/>
        <item x="41"/>
        <item x="95"/>
        <item x="37"/>
        <item x="3"/>
        <item x="66"/>
        <item x="168"/>
        <item x="81"/>
        <item x="22"/>
        <item x="110"/>
        <item x="62"/>
        <item x="93"/>
        <item x="58"/>
        <item x="169"/>
        <item x="157"/>
        <item x="82"/>
        <item x="86"/>
        <item x="5"/>
        <item x="47"/>
        <item x="1"/>
        <item x="39"/>
        <item x="181"/>
        <item x="36"/>
        <item x="46"/>
        <item x="133"/>
        <item x="53"/>
        <item x="148"/>
        <item x="109"/>
        <item x="173"/>
        <item x="155"/>
        <item x="154"/>
        <item x="44"/>
        <item x="122"/>
        <item x="126"/>
        <item x="57"/>
        <item x="100"/>
        <item x="185"/>
        <item x="98"/>
        <item x="121"/>
        <item x="83"/>
        <item x="197"/>
        <item x="48"/>
        <item x="187"/>
        <item x="186"/>
        <item x="76"/>
        <item x="113"/>
        <item x="11"/>
        <item x="8"/>
        <item x="35"/>
        <item x="9"/>
        <item x="151"/>
        <item x="4"/>
        <item x="176"/>
        <item x="51"/>
        <item x="192"/>
        <item x="13"/>
        <item x="188"/>
        <item x="73"/>
        <item x="61"/>
        <item x="120"/>
        <item x="146"/>
        <item x="91"/>
        <item x="108"/>
        <item x="193"/>
        <item x="107"/>
        <item x="129"/>
        <item x="30"/>
        <item x="34"/>
        <item x="64"/>
        <item x="180"/>
        <item x="143"/>
        <item x="59"/>
        <item x="78"/>
        <item x="156"/>
        <item x="42"/>
        <item x="139"/>
        <item x="179"/>
        <item t="default"/>
      </items>
    </pivotField>
    <pivotField showAll="0"/>
    <pivotField dataField="1" showAll="0"/>
    <pivotField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Delay_Days"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B7646-03C9-4930-919D-4CDA8BB2C14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3:H8" firstHeaderRow="1" firstDataRow="1" firstDataCol="1"/>
  <pivotFields count="9">
    <pivotField showAll="0"/>
    <pivotField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showAll="0">
      <items count="4">
        <item x="0"/>
        <item x="2"/>
        <item x="1"/>
        <item t="default"/>
      </items>
    </pivotField>
    <pivotField dataField="1" showAll="0">
      <items count="201">
        <item x="60"/>
        <item x="132"/>
        <item x="50"/>
        <item x="131"/>
        <item x="116"/>
        <item x="171"/>
        <item x="135"/>
        <item x="75"/>
        <item x="14"/>
        <item x="199"/>
        <item x="89"/>
        <item x="55"/>
        <item x="138"/>
        <item x="140"/>
        <item x="29"/>
        <item x="10"/>
        <item x="194"/>
        <item x="97"/>
        <item x="114"/>
        <item x="152"/>
        <item x="31"/>
        <item x="79"/>
        <item x="170"/>
        <item x="142"/>
        <item x="134"/>
        <item x="87"/>
        <item x="19"/>
        <item x="125"/>
        <item x="49"/>
        <item x="150"/>
        <item x="130"/>
        <item x="191"/>
        <item x="33"/>
        <item x="12"/>
        <item x="141"/>
        <item x="160"/>
        <item x="56"/>
        <item x="38"/>
        <item x="165"/>
        <item x="174"/>
        <item x="104"/>
        <item x="72"/>
        <item x="96"/>
        <item x="183"/>
        <item x="16"/>
        <item x="0"/>
        <item x="28"/>
        <item x="18"/>
        <item x="54"/>
        <item x="68"/>
        <item x="85"/>
        <item x="92"/>
        <item x="67"/>
        <item x="172"/>
        <item x="15"/>
        <item x="123"/>
        <item x="184"/>
        <item x="101"/>
        <item x="190"/>
        <item x="24"/>
        <item x="70"/>
        <item x="127"/>
        <item x="163"/>
        <item x="69"/>
        <item x="136"/>
        <item x="115"/>
        <item x="43"/>
        <item x="195"/>
        <item x="124"/>
        <item x="27"/>
        <item x="153"/>
        <item x="25"/>
        <item x="189"/>
        <item x="63"/>
        <item x="162"/>
        <item x="106"/>
        <item x="149"/>
        <item x="23"/>
        <item x="112"/>
        <item x="65"/>
        <item x="144"/>
        <item x="90"/>
        <item x="102"/>
        <item x="71"/>
        <item x="178"/>
        <item x="164"/>
        <item x="128"/>
        <item x="94"/>
        <item x="161"/>
        <item x="21"/>
        <item x="99"/>
        <item x="26"/>
        <item x="20"/>
        <item x="32"/>
        <item x="145"/>
        <item x="167"/>
        <item x="6"/>
        <item x="17"/>
        <item x="198"/>
        <item x="80"/>
        <item x="147"/>
        <item x="105"/>
        <item x="74"/>
        <item x="196"/>
        <item x="117"/>
        <item x="40"/>
        <item x="158"/>
        <item x="7"/>
        <item x="182"/>
        <item x="2"/>
        <item x="84"/>
        <item x="52"/>
        <item x="77"/>
        <item x="175"/>
        <item x="88"/>
        <item x="45"/>
        <item x="119"/>
        <item x="103"/>
        <item x="159"/>
        <item x="166"/>
        <item x="177"/>
        <item x="137"/>
        <item x="111"/>
        <item x="118"/>
        <item x="41"/>
        <item x="95"/>
        <item x="37"/>
        <item x="3"/>
        <item x="66"/>
        <item x="168"/>
        <item x="81"/>
        <item x="22"/>
        <item x="110"/>
        <item x="62"/>
        <item x="93"/>
        <item x="58"/>
        <item x="169"/>
        <item x="157"/>
        <item x="82"/>
        <item x="86"/>
        <item x="5"/>
        <item x="47"/>
        <item x="1"/>
        <item x="39"/>
        <item x="181"/>
        <item x="36"/>
        <item x="46"/>
        <item x="133"/>
        <item x="53"/>
        <item x="148"/>
        <item x="109"/>
        <item x="173"/>
        <item x="155"/>
        <item x="154"/>
        <item x="44"/>
        <item x="122"/>
        <item x="126"/>
        <item x="57"/>
        <item x="100"/>
        <item x="185"/>
        <item x="98"/>
        <item x="121"/>
        <item x="83"/>
        <item x="197"/>
        <item x="48"/>
        <item x="187"/>
        <item x="186"/>
        <item x="76"/>
        <item x="113"/>
        <item x="11"/>
        <item x="8"/>
        <item x="35"/>
        <item x="9"/>
        <item x="151"/>
        <item x="4"/>
        <item x="176"/>
        <item x="51"/>
        <item x="192"/>
        <item x="13"/>
        <item x="188"/>
        <item x="73"/>
        <item x="61"/>
        <item x="120"/>
        <item x="146"/>
        <item x="91"/>
        <item x="108"/>
        <item x="193"/>
        <item x="107"/>
        <item x="129"/>
        <item x="30"/>
        <item x="34"/>
        <item x="64"/>
        <item x="180"/>
        <item x="143"/>
        <item x="59"/>
        <item x="78"/>
        <item x="156"/>
        <item x="42"/>
        <item x="139"/>
        <item x="179"/>
        <item t="default"/>
      </items>
    </pivotField>
    <pivotField showAll="0"/>
    <pivotField showAll="0"/>
    <pivotField axis="axisRow"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Items count="1">
    <i/>
  </colItems>
  <dataFields count="1">
    <dataField name="Sum of Amount" fld="3"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549F23-72F6-4F93-8A5F-A732EE039AC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M12:M13" firstHeaderRow="1" firstDataRow="1" firstDataCol="0"/>
  <pivotFields count="9">
    <pivotField showAll="0"/>
    <pivotField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showAll="0">
      <items count="4">
        <item x="0"/>
        <item x="2"/>
        <item x="1"/>
        <item t="default"/>
      </items>
    </pivotField>
    <pivotField dataField="1" showAll="0">
      <items count="201">
        <item x="60"/>
        <item x="132"/>
        <item x="50"/>
        <item x="131"/>
        <item x="116"/>
        <item x="171"/>
        <item x="135"/>
        <item x="75"/>
        <item x="14"/>
        <item x="199"/>
        <item x="89"/>
        <item x="55"/>
        <item x="138"/>
        <item x="140"/>
        <item x="29"/>
        <item x="10"/>
        <item x="194"/>
        <item x="97"/>
        <item x="114"/>
        <item x="152"/>
        <item x="31"/>
        <item x="79"/>
        <item x="170"/>
        <item x="142"/>
        <item x="134"/>
        <item x="87"/>
        <item x="19"/>
        <item x="125"/>
        <item x="49"/>
        <item x="150"/>
        <item x="130"/>
        <item x="191"/>
        <item x="33"/>
        <item x="12"/>
        <item x="141"/>
        <item x="160"/>
        <item x="56"/>
        <item x="38"/>
        <item x="165"/>
        <item x="174"/>
        <item x="104"/>
        <item x="72"/>
        <item x="96"/>
        <item x="183"/>
        <item x="16"/>
        <item x="0"/>
        <item x="28"/>
        <item x="18"/>
        <item x="54"/>
        <item x="68"/>
        <item x="85"/>
        <item x="92"/>
        <item x="67"/>
        <item x="172"/>
        <item x="15"/>
        <item x="123"/>
        <item x="184"/>
        <item x="101"/>
        <item x="190"/>
        <item x="24"/>
        <item x="70"/>
        <item x="127"/>
        <item x="163"/>
        <item x="69"/>
        <item x="136"/>
        <item x="115"/>
        <item x="43"/>
        <item x="195"/>
        <item x="124"/>
        <item x="27"/>
        <item x="153"/>
        <item x="25"/>
        <item x="189"/>
        <item x="63"/>
        <item x="162"/>
        <item x="106"/>
        <item x="149"/>
        <item x="23"/>
        <item x="112"/>
        <item x="65"/>
        <item x="144"/>
        <item x="90"/>
        <item x="102"/>
        <item x="71"/>
        <item x="178"/>
        <item x="164"/>
        <item x="128"/>
        <item x="94"/>
        <item x="161"/>
        <item x="21"/>
        <item x="99"/>
        <item x="26"/>
        <item x="20"/>
        <item x="32"/>
        <item x="145"/>
        <item x="167"/>
        <item x="6"/>
        <item x="17"/>
        <item x="198"/>
        <item x="80"/>
        <item x="147"/>
        <item x="105"/>
        <item x="74"/>
        <item x="196"/>
        <item x="117"/>
        <item x="40"/>
        <item x="158"/>
        <item x="7"/>
        <item x="182"/>
        <item x="2"/>
        <item x="84"/>
        <item x="52"/>
        <item x="77"/>
        <item x="175"/>
        <item x="88"/>
        <item x="45"/>
        <item x="119"/>
        <item x="103"/>
        <item x="159"/>
        <item x="166"/>
        <item x="177"/>
        <item x="137"/>
        <item x="111"/>
        <item x="118"/>
        <item x="41"/>
        <item x="95"/>
        <item x="37"/>
        <item x="3"/>
        <item x="66"/>
        <item x="168"/>
        <item x="81"/>
        <item x="22"/>
        <item x="110"/>
        <item x="62"/>
        <item x="93"/>
        <item x="58"/>
        <item x="169"/>
        <item x="157"/>
        <item x="82"/>
        <item x="86"/>
        <item x="5"/>
        <item x="47"/>
        <item x="1"/>
        <item x="39"/>
        <item x="181"/>
        <item x="36"/>
        <item x="46"/>
        <item x="133"/>
        <item x="53"/>
        <item x="148"/>
        <item x="109"/>
        <item x="173"/>
        <item x="155"/>
        <item x="154"/>
        <item x="44"/>
        <item x="122"/>
        <item x="126"/>
        <item x="57"/>
        <item x="100"/>
        <item x="185"/>
        <item x="98"/>
        <item x="121"/>
        <item x="83"/>
        <item x="197"/>
        <item x="48"/>
        <item x="187"/>
        <item x="186"/>
        <item x="76"/>
        <item x="113"/>
        <item x="11"/>
        <item x="8"/>
        <item x="35"/>
        <item x="9"/>
        <item x="151"/>
        <item x="4"/>
        <item x="176"/>
        <item x="51"/>
        <item x="192"/>
        <item x="13"/>
        <item x="188"/>
        <item x="73"/>
        <item x="61"/>
        <item x="120"/>
        <item x="146"/>
        <item x="91"/>
        <item x="108"/>
        <item x="193"/>
        <item x="107"/>
        <item x="129"/>
        <item x="30"/>
        <item x="34"/>
        <item x="64"/>
        <item x="180"/>
        <item x="143"/>
        <item x="59"/>
        <item x="78"/>
        <item x="156"/>
        <item x="42"/>
        <item x="139"/>
        <item x="179"/>
        <item t="default"/>
      </items>
    </pivotField>
    <pivotField showAll="0"/>
    <pivotField showAll="0"/>
    <pivotField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C2780F-D37D-4FF2-AE91-934C779CACB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8" firstHeaderRow="1" firstDataRow="1" firstDataCol="1"/>
  <pivotFields count="9">
    <pivotField showAll="0"/>
    <pivotField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showAll="0"/>
    <pivotField showAll="0"/>
    <pivotField showAll="0"/>
    <pivotField showAll="0"/>
    <pivotField axis="axisRow"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39C928-E3D2-4388-91D5-16654C795C7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M3:N7" firstHeaderRow="1" firstDataRow="1" firstDataCol="1"/>
  <pivotFields count="9">
    <pivotField showAll="0"/>
    <pivotField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axis="axisRow" showAll="0">
      <items count="4">
        <item x="0"/>
        <item x="2"/>
        <item x="1"/>
        <item t="default"/>
      </items>
    </pivotField>
    <pivotField dataField="1" showAll="0">
      <items count="201">
        <item x="60"/>
        <item x="132"/>
        <item x="50"/>
        <item x="131"/>
        <item x="116"/>
        <item x="171"/>
        <item x="135"/>
        <item x="75"/>
        <item x="14"/>
        <item x="199"/>
        <item x="89"/>
        <item x="55"/>
        <item x="138"/>
        <item x="140"/>
        <item x="29"/>
        <item x="10"/>
        <item x="194"/>
        <item x="97"/>
        <item x="114"/>
        <item x="152"/>
        <item x="31"/>
        <item x="79"/>
        <item x="170"/>
        <item x="142"/>
        <item x="134"/>
        <item x="87"/>
        <item x="19"/>
        <item x="125"/>
        <item x="49"/>
        <item x="150"/>
        <item x="130"/>
        <item x="191"/>
        <item x="33"/>
        <item x="12"/>
        <item x="141"/>
        <item x="160"/>
        <item x="56"/>
        <item x="38"/>
        <item x="165"/>
        <item x="174"/>
        <item x="104"/>
        <item x="72"/>
        <item x="96"/>
        <item x="183"/>
        <item x="16"/>
        <item x="0"/>
        <item x="28"/>
        <item x="18"/>
        <item x="54"/>
        <item x="68"/>
        <item x="85"/>
        <item x="92"/>
        <item x="67"/>
        <item x="172"/>
        <item x="15"/>
        <item x="123"/>
        <item x="184"/>
        <item x="101"/>
        <item x="190"/>
        <item x="24"/>
        <item x="70"/>
        <item x="127"/>
        <item x="163"/>
        <item x="69"/>
        <item x="136"/>
        <item x="115"/>
        <item x="43"/>
        <item x="195"/>
        <item x="124"/>
        <item x="27"/>
        <item x="153"/>
        <item x="25"/>
        <item x="189"/>
        <item x="63"/>
        <item x="162"/>
        <item x="106"/>
        <item x="149"/>
        <item x="23"/>
        <item x="112"/>
        <item x="65"/>
        <item x="144"/>
        <item x="90"/>
        <item x="102"/>
        <item x="71"/>
        <item x="178"/>
        <item x="164"/>
        <item x="128"/>
        <item x="94"/>
        <item x="161"/>
        <item x="21"/>
        <item x="99"/>
        <item x="26"/>
        <item x="20"/>
        <item x="32"/>
        <item x="145"/>
        <item x="167"/>
        <item x="6"/>
        <item x="17"/>
        <item x="198"/>
        <item x="80"/>
        <item x="147"/>
        <item x="105"/>
        <item x="74"/>
        <item x="196"/>
        <item x="117"/>
        <item x="40"/>
        <item x="158"/>
        <item x="7"/>
        <item x="182"/>
        <item x="2"/>
        <item x="84"/>
        <item x="52"/>
        <item x="77"/>
        <item x="175"/>
        <item x="88"/>
        <item x="45"/>
        <item x="119"/>
        <item x="103"/>
        <item x="159"/>
        <item x="166"/>
        <item x="177"/>
        <item x="137"/>
        <item x="111"/>
        <item x="118"/>
        <item x="41"/>
        <item x="95"/>
        <item x="37"/>
        <item x="3"/>
        <item x="66"/>
        <item x="168"/>
        <item x="81"/>
        <item x="22"/>
        <item x="110"/>
        <item x="62"/>
        <item x="93"/>
        <item x="58"/>
        <item x="169"/>
        <item x="157"/>
        <item x="82"/>
        <item x="86"/>
        <item x="5"/>
        <item x="47"/>
        <item x="1"/>
        <item x="39"/>
        <item x="181"/>
        <item x="36"/>
        <item x="46"/>
        <item x="133"/>
        <item x="53"/>
        <item x="148"/>
        <item x="109"/>
        <item x="173"/>
        <item x="155"/>
        <item x="154"/>
        <item x="44"/>
        <item x="122"/>
        <item x="126"/>
        <item x="57"/>
        <item x="100"/>
        <item x="185"/>
        <item x="98"/>
        <item x="121"/>
        <item x="83"/>
        <item x="197"/>
        <item x="48"/>
        <item x="187"/>
        <item x="186"/>
        <item x="76"/>
        <item x="113"/>
        <item x="11"/>
        <item x="8"/>
        <item x="35"/>
        <item x="9"/>
        <item x="151"/>
        <item x="4"/>
        <item x="176"/>
        <item x="51"/>
        <item x="192"/>
        <item x="13"/>
        <item x="188"/>
        <item x="73"/>
        <item x="61"/>
        <item x="120"/>
        <item x="146"/>
        <item x="91"/>
        <item x="108"/>
        <item x="193"/>
        <item x="107"/>
        <item x="129"/>
        <item x="30"/>
        <item x="34"/>
        <item x="64"/>
        <item x="180"/>
        <item x="143"/>
        <item x="59"/>
        <item x="78"/>
        <item x="156"/>
        <item x="42"/>
        <item x="139"/>
        <item x="179"/>
        <item t="default"/>
      </items>
    </pivotField>
    <pivotField showAll="0"/>
    <pivotField showAll="0"/>
    <pivotField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Amount" fld="3" baseField="0" baseItem="0"/>
  </dataFields>
  <chartFormats count="5">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2" count="1" selected="0">
            <x v="0"/>
          </reference>
        </references>
      </pivotArea>
    </chartFormat>
    <chartFormat chart="43" format="4">
      <pivotArea type="data" outline="0" fieldPosition="0">
        <references count="2">
          <reference field="4294967294" count="1" selected="0">
            <x v="0"/>
          </reference>
          <reference field="2" count="1" selected="0">
            <x v="1"/>
          </reference>
        </references>
      </pivotArea>
    </chartFormat>
    <chartFormat chart="43"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559713-2CE5-4735-8740-1EFDD0588D9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M9:M10" firstHeaderRow="1" firstDataRow="1" firstDataCol="0"/>
  <pivotFields count="9">
    <pivotField showAll="0"/>
    <pivotField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showAll="0">
      <items count="4">
        <item x="0"/>
        <item x="2"/>
        <item x="1"/>
        <item t="default"/>
      </items>
    </pivotField>
    <pivotField dataField="1" showAll="0">
      <items count="201">
        <item x="60"/>
        <item x="132"/>
        <item x="50"/>
        <item x="131"/>
        <item x="116"/>
        <item x="171"/>
        <item x="135"/>
        <item x="75"/>
        <item x="14"/>
        <item x="199"/>
        <item x="89"/>
        <item x="55"/>
        <item x="138"/>
        <item x="140"/>
        <item x="29"/>
        <item x="10"/>
        <item x="194"/>
        <item x="97"/>
        <item x="114"/>
        <item x="152"/>
        <item x="31"/>
        <item x="79"/>
        <item x="170"/>
        <item x="142"/>
        <item x="134"/>
        <item x="87"/>
        <item x="19"/>
        <item x="125"/>
        <item x="49"/>
        <item x="150"/>
        <item x="130"/>
        <item x="191"/>
        <item x="33"/>
        <item x="12"/>
        <item x="141"/>
        <item x="160"/>
        <item x="56"/>
        <item x="38"/>
        <item x="165"/>
        <item x="174"/>
        <item x="104"/>
        <item x="72"/>
        <item x="96"/>
        <item x="183"/>
        <item x="16"/>
        <item x="0"/>
        <item x="28"/>
        <item x="18"/>
        <item x="54"/>
        <item x="68"/>
        <item x="85"/>
        <item x="92"/>
        <item x="67"/>
        <item x="172"/>
        <item x="15"/>
        <item x="123"/>
        <item x="184"/>
        <item x="101"/>
        <item x="190"/>
        <item x="24"/>
        <item x="70"/>
        <item x="127"/>
        <item x="163"/>
        <item x="69"/>
        <item x="136"/>
        <item x="115"/>
        <item x="43"/>
        <item x="195"/>
        <item x="124"/>
        <item x="27"/>
        <item x="153"/>
        <item x="25"/>
        <item x="189"/>
        <item x="63"/>
        <item x="162"/>
        <item x="106"/>
        <item x="149"/>
        <item x="23"/>
        <item x="112"/>
        <item x="65"/>
        <item x="144"/>
        <item x="90"/>
        <item x="102"/>
        <item x="71"/>
        <item x="178"/>
        <item x="164"/>
        <item x="128"/>
        <item x="94"/>
        <item x="161"/>
        <item x="21"/>
        <item x="99"/>
        <item x="26"/>
        <item x="20"/>
        <item x="32"/>
        <item x="145"/>
        <item x="167"/>
        <item x="6"/>
        <item x="17"/>
        <item x="198"/>
        <item x="80"/>
        <item x="147"/>
        <item x="105"/>
        <item x="74"/>
        <item x="196"/>
        <item x="117"/>
        <item x="40"/>
        <item x="158"/>
        <item x="7"/>
        <item x="182"/>
        <item x="2"/>
        <item x="84"/>
        <item x="52"/>
        <item x="77"/>
        <item x="175"/>
        <item x="88"/>
        <item x="45"/>
        <item x="119"/>
        <item x="103"/>
        <item x="159"/>
        <item x="166"/>
        <item x="177"/>
        <item x="137"/>
        <item x="111"/>
        <item x="118"/>
        <item x="41"/>
        <item x="95"/>
        <item x="37"/>
        <item x="3"/>
        <item x="66"/>
        <item x="168"/>
        <item x="81"/>
        <item x="22"/>
        <item x="110"/>
        <item x="62"/>
        <item x="93"/>
        <item x="58"/>
        <item x="169"/>
        <item x="157"/>
        <item x="82"/>
        <item x="86"/>
        <item x="5"/>
        <item x="47"/>
        <item x="1"/>
        <item x="39"/>
        <item x="181"/>
        <item x="36"/>
        <item x="46"/>
        <item x="133"/>
        <item x="53"/>
        <item x="148"/>
        <item x="109"/>
        <item x="173"/>
        <item x="155"/>
        <item x="154"/>
        <item x="44"/>
        <item x="122"/>
        <item x="126"/>
        <item x="57"/>
        <item x="100"/>
        <item x="185"/>
        <item x="98"/>
        <item x="121"/>
        <item x="83"/>
        <item x="197"/>
        <item x="48"/>
        <item x="187"/>
        <item x="186"/>
        <item x="76"/>
        <item x="113"/>
        <item x="11"/>
        <item x="8"/>
        <item x="35"/>
        <item x="9"/>
        <item x="151"/>
        <item x="4"/>
        <item x="176"/>
        <item x="51"/>
        <item x="192"/>
        <item x="13"/>
        <item x="188"/>
        <item x="73"/>
        <item x="61"/>
        <item x="120"/>
        <item x="146"/>
        <item x="91"/>
        <item x="108"/>
        <item x="193"/>
        <item x="107"/>
        <item x="129"/>
        <item x="30"/>
        <item x="34"/>
        <item x="64"/>
        <item x="180"/>
        <item x="143"/>
        <item x="59"/>
        <item x="78"/>
        <item x="156"/>
        <item x="42"/>
        <item x="139"/>
        <item x="179"/>
        <item t="default"/>
      </items>
    </pivotField>
    <pivotField showAll="0"/>
    <pivotField showAll="0"/>
    <pivotField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9F5186-8C7B-454D-824A-2FEC87114BB7}"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M15:N18" firstHeaderRow="1" firstDataRow="1" firstDataCol="1"/>
  <pivotFields count="9">
    <pivotField showAll="0"/>
    <pivotField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showAll="0">
      <items count="4">
        <item x="0"/>
        <item x="2"/>
        <item x="1"/>
        <item t="default"/>
      </items>
    </pivotField>
    <pivotField showAll="0">
      <items count="201">
        <item x="60"/>
        <item x="132"/>
        <item x="50"/>
        <item x="131"/>
        <item x="116"/>
        <item x="171"/>
        <item x="135"/>
        <item x="75"/>
        <item x="14"/>
        <item x="199"/>
        <item x="89"/>
        <item x="55"/>
        <item x="138"/>
        <item x="140"/>
        <item x="29"/>
        <item x="10"/>
        <item x="194"/>
        <item x="97"/>
        <item x="114"/>
        <item x="152"/>
        <item x="31"/>
        <item x="79"/>
        <item x="170"/>
        <item x="142"/>
        <item x="134"/>
        <item x="87"/>
        <item x="19"/>
        <item x="125"/>
        <item x="49"/>
        <item x="150"/>
        <item x="130"/>
        <item x="191"/>
        <item x="33"/>
        <item x="12"/>
        <item x="141"/>
        <item x="160"/>
        <item x="56"/>
        <item x="38"/>
        <item x="165"/>
        <item x="174"/>
        <item x="104"/>
        <item x="72"/>
        <item x="96"/>
        <item x="183"/>
        <item x="16"/>
        <item x="0"/>
        <item x="28"/>
        <item x="18"/>
        <item x="54"/>
        <item x="68"/>
        <item x="85"/>
        <item x="92"/>
        <item x="67"/>
        <item x="172"/>
        <item x="15"/>
        <item x="123"/>
        <item x="184"/>
        <item x="101"/>
        <item x="190"/>
        <item x="24"/>
        <item x="70"/>
        <item x="127"/>
        <item x="163"/>
        <item x="69"/>
        <item x="136"/>
        <item x="115"/>
        <item x="43"/>
        <item x="195"/>
        <item x="124"/>
        <item x="27"/>
        <item x="153"/>
        <item x="25"/>
        <item x="189"/>
        <item x="63"/>
        <item x="162"/>
        <item x="106"/>
        <item x="149"/>
        <item x="23"/>
        <item x="112"/>
        <item x="65"/>
        <item x="144"/>
        <item x="90"/>
        <item x="102"/>
        <item x="71"/>
        <item x="178"/>
        <item x="164"/>
        <item x="128"/>
        <item x="94"/>
        <item x="161"/>
        <item x="21"/>
        <item x="99"/>
        <item x="26"/>
        <item x="20"/>
        <item x="32"/>
        <item x="145"/>
        <item x="167"/>
        <item x="6"/>
        <item x="17"/>
        <item x="198"/>
        <item x="80"/>
        <item x="147"/>
        <item x="105"/>
        <item x="74"/>
        <item x="196"/>
        <item x="117"/>
        <item x="40"/>
        <item x="158"/>
        <item x="7"/>
        <item x="182"/>
        <item x="2"/>
        <item x="84"/>
        <item x="52"/>
        <item x="77"/>
        <item x="175"/>
        <item x="88"/>
        <item x="45"/>
        <item x="119"/>
        <item x="103"/>
        <item x="159"/>
        <item x="166"/>
        <item x="177"/>
        <item x="137"/>
        <item x="111"/>
        <item x="118"/>
        <item x="41"/>
        <item x="95"/>
        <item x="37"/>
        <item x="3"/>
        <item x="66"/>
        <item x="168"/>
        <item x="81"/>
        <item x="22"/>
        <item x="110"/>
        <item x="62"/>
        <item x="93"/>
        <item x="58"/>
        <item x="169"/>
        <item x="157"/>
        <item x="82"/>
        <item x="86"/>
        <item x="5"/>
        <item x="47"/>
        <item x="1"/>
        <item x="39"/>
        <item x="181"/>
        <item x="36"/>
        <item x="46"/>
        <item x="133"/>
        <item x="53"/>
        <item x="148"/>
        <item x="109"/>
        <item x="173"/>
        <item x="155"/>
        <item x="154"/>
        <item x="44"/>
        <item x="122"/>
        <item x="126"/>
        <item x="57"/>
        <item x="100"/>
        <item x="185"/>
        <item x="98"/>
        <item x="121"/>
        <item x="83"/>
        <item x="197"/>
        <item x="48"/>
        <item x="187"/>
        <item x="186"/>
        <item x="76"/>
        <item x="113"/>
        <item x="11"/>
        <item x="8"/>
        <item x="35"/>
        <item x="9"/>
        <item x="151"/>
        <item x="4"/>
        <item x="176"/>
        <item x="51"/>
        <item x="192"/>
        <item x="13"/>
        <item x="188"/>
        <item x="73"/>
        <item x="61"/>
        <item x="120"/>
        <item x="146"/>
        <item x="91"/>
        <item x="108"/>
        <item x="193"/>
        <item x="107"/>
        <item x="129"/>
        <item x="30"/>
        <item x="34"/>
        <item x="64"/>
        <item x="180"/>
        <item x="143"/>
        <item x="59"/>
        <item x="78"/>
        <item x="156"/>
        <item x="42"/>
        <item x="139"/>
        <item x="179"/>
        <item t="default"/>
      </items>
    </pivotField>
    <pivotField axis="axisRow" dataField="1" showAll="0">
      <items count="3">
        <item x="1"/>
        <item x="0"/>
        <item t="default"/>
      </items>
    </pivotField>
    <pivotField showAll="0"/>
    <pivotField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Count of Payment_Status" fld="4" subtotal="count" showDataAs="percentOfTota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47166B-1D43-45B0-B072-7E410CB78C8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J3:K16" firstHeaderRow="1" firstDataRow="1" firstDataCol="1"/>
  <pivotFields count="9">
    <pivotField showAll="0"/>
    <pivotField axis="axisRow"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showAll="0">
      <items count="4">
        <item x="0"/>
        <item x="2"/>
        <item x="1"/>
        <item t="default"/>
      </items>
    </pivotField>
    <pivotField dataField="1" showAll="0">
      <items count="201">
        <item x="60"/>
        <item x="132"/>
        <item x="50"/>
        <item x="131"/>
        <item x="116"/>
        <item x="171"/>
        <item x="135"/>
        <item x="75"/>
        <item x="14"/>
        <item x="199"/>
        <item x="89"/>
        <item x="55"/>
        <item x="138"/>
        <item x="140"/>
        <item x="29"/>
        <item x="10"/>
        <item x="194"/>
        <item x="97"/>
        <item x="114"/>
        <item x="152"/>
        <item x="31"/>
        <item x="79"/>
        <item x="170"/>
        <item x="142"/>
        <item x="134"/>
        <item x="87"/>
        <item x="19"/>
        <item x="125"/>
        <item x="49"/>
        <item x="150"/>
        <item x="130"/>
        <item x="191"/>
        <item x="33"/>
        <item x="12"/>
        <item x="141"/>
        <item x="160"/>
        <item x="56"/>
        <item x="38"/>
        <item x="165"/>
        <item x="174"/>
        <item x="104"/>
        <item x="72"/>
        <item x="96"/>
        <item x="183"/>
        <item x="16"/>
        <item x="0"/>
        <item x="28"/>
        <item x="18"/>
        <item x="54"/>
        <item x="68"/>
        <item x="85"/>
        <item x="92"/>
        <item x="67"/>
        <item x="172"/>
        <item x="15"/>
        <item x="123"/>
        <item x="184"/>
        <item x="101"/>
        <item x="190"/>
        <item x="24"/>
        <item x="70"/>
        <item x="127"/>
        <item x="163"/>
        <item x="69"/>
        <item x="136"/>
        <item x="115"/>
        <item x="43"/>
        <item x="195"/>
        <item x="124"/>
        <item x="27"/>
        <item x="153"/>
        <item x="25"/>
        <item x="189"/>
        <item x="63"/>
        <item x="162"/>
        <item x="106"/>
        <item x="149"/>
        <item x="23"/>
        <item x="112"/>
        <item x="65"/>
        <item x="144"/>
        <item x="90"/>
        <item x="102"/>
        <item x="71"/>
        <item x="178"/>
        <item x="164"/>
        <item x="128"/>
        <item x="94"/>
        <item x="161"/>
        <item x="21"/>
        <item x="99"/>
        <item x="26"/>
        <item x="20"/>
        <item x="32"/>
        <item x="145"/>
        <item x="167"/>
        <item x="6"/>
        <item x="17"/>
        <item x="198"/>
        <item x="80"/>
        <item x="147"/>
        <item x="105"/>
        <item x="74"/>
        <item x="196"/>
        <item x="117"/>
        <item x="40"/>
        <item x="158"/>
        <item x="7"/>
        <item x="182"/>
        <item x="2"/>
        <item x="84"/>
        <item x="52"/>
        <item x="77"/>
        <item x="175"/>
        <item x="88"/>
        <item x="45"/>
        <item x="119"/>
        <item x="103"/>
        <item x="159"/>
        <item x="166"/>
        <item x="177"/>
        <item x="137"/>
        <item x="111"/>
        <item x="118"/>
        <item x="41"/>
        <item x="95"/>
        <item x="37"/>
        <item x="3"/>
        <item x="66"/>
        <item x="168"/>
        <item x="81"/>
        <item x="22"/>
        <item x="110"/>
        <item x="62"/>
        <item x="93"/>
        <item x="58"/>
        <item x="169"/>
        <item x="157"/>
        <item x="82"/>
        <item x="86"/>
        <item x="5"/>
        <item x="47"/>
        <item x="1"/>
        <item x="39"/>
        <item x="181"/>
        <item x="36"/>
        <item x="46"/>
        <item x="133"/>
        <item x="53"/>
        <item x="148"/>
        <item x="109"/>
        <item x="173"/>
        <item x="155"/>
        <item x="154"/>
        <item x="44"/>
        <item x="122"/>
        <item x="126"/>
        <item x="57"/>
        <item x="100"/>
        <item x="185"/>
        <item x="98"/>
        <item x="121"/>
        <item x="83"/>
        <item x="197"/>
        <item x="48"/>
        <item x="187"/>
        <item x="186"/>
        <item x="76"/>
        <item x="113"/>
        <item x="11"/>
        <item x="8"/>
        <item x="35"/>
        <item x="9"/>
        <item x="151"/>
        <item x="4"/>
        <item x="176"/>
        <item x="51"/>
        <item x="192"/>
        <item x="13"/>
        <item x="188"/>
        <item x="73"/>
        <item x="61"/>
        <item x="120"/>
        <item x="146"/>
        <item x="91"/>
        <item x="108"/>
        <item x="193"/>
        <item x="107"/>
        <item x="129"/>
        <item x="30"/>
        <item x="34"/>
        <item x="64"/>
        <item x="180"/>
        <item x="143"/>
        <item x="59"/>
        <item x="78"/>
        <item x="156"/>
        <item x="42"/>
        <item x="139"/>
        <item x="179"/>
        <item t="default"/>
      </items>
    </pivotField>
    <pivotField showAll="0"/>
    <pivotField showAll="0"/>
    <pivotField showAll="0">
      <items count="5">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3"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0B5595-EC5C-4251-9EB5-0EB081D1A40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16" firstHeaderRow="1" firstDataRow="1" firstDataCol="1"/>
  <pivotFields count="9">
    <pivotField showAll="0"/>
    <pivotField axis="axisRow" numFmtId="14" showAll="0">
      <items count="160">
        <item x="36"/>
        <item x="122"/>
        <item x="18"/>
        <item x="17"/>
        <item x="116"/>
        <item x="5"/>
        <item x="47"/>
        <item x="127"/>
        <item x="50"/>
        <item x="140"/>
        <item x="114"/>
        <item x="142"/>
        <item x="146"/>
        <item x="84"/>
        <item x="111"/>
        <item x="68"/>
        <item x="86"/>
        <item x="92"/>
        <item x="30"/>
        <item x="134"/>
        <item x="7"/>
        <item x="155"/>
        <item x="88"/>
        <item x="9"/>
        <item x="96"/>
        <item x="43"/>
        <item x="64"/>
        <item x="4"/>
        <item x="98"/>
        <item x="91"/>
        <item x="157"/>
        <item x="60"/>
        <item x="129"/>
        <item x="13"/>
        <item x="22"/>
        <item x="119"/>
        <item x="66"/>
        <item x="69"/>
        <item x="27"/>
        <item x="34"/>
        <item x="3"/>
        <item x="74"/>
        <item x="141"/>
        <item x="8"/>
        <item x="118"/>
        <item x="105"/>
        <item x="39"/>
        <item x="70"/>
        <item x="44"/>
        <item x="82"/>
        <item x="143"/>
        <item x="42"/>
        <item x="85"/>
        <item x="2"/>
        <item x="11"/>
        <item x="49"/>
        <item x="152"/>
        <item x="41"/>
        <item x="102"/>
        <item x="46"/>
        <item x="12"/>
        <item x="52"/>
        <item x="101"/>
        <item x="123"/>
        <item x="79"/>
        <item x="33"/>
        <item x="56"/>
        <item x="128"/>
        <item x="93"/>
        <item x="148"/>
        <item x="20"/>
        <item x="19"/>
        <item x="54"/>
        <item x="125"/>
        <item x="78"/>
        <item x="107"/>
        <item x="59"/>
        <item x="25"/>
        <item x="81"/>
        <item x="109"/>
        <item x="6"/>
        <item x="23"/>
        <item x="153"/>
        <item x="67"/>
        <item x="76"/>
        <item x="73"/>
        <item x="120"/>
        <item x="1"/>
        <item x="48"/>
        <item x="144"/>
        <item x="40"/>
        <item x="0"/>
        <item x="133"/>
        <item x="132"/>
        <item x="121"/>
        <item x="15"/>
        <item x="115"/>
        <item x="124"/>
        <item x="57"/>
        <item x="154"/>
        <item x="26"/>
        <item x="61"/>
        <item x="58"/>
        <item x="94"/>
        <item x="10"/>
        <item x="117"/>
        <item x="99"/>
        <item x="151"/>
        <item x="97"/>
        <item x="14"/>
        <item x="71"/>
        <item x="136"/>
        <item x="149"/>
        <item x="31"/>
        <item x="106"/>
        <item x="51"/>
        <item x="89"/>
        <item x="113"/>
        <item x="90"/>
        <item x="72"/>
        <item x="131"/>
        <item x="16"/>
        <item x="29"/>
        <item x="145"/>
        <item x="87"/>
        <item x="21"/>
        <item x="100"/>
        <item x="150"/>
        <item x="139"/>
        <item x="95"/>
        <item x="130"/>
        <item x="137"/>
        <item x="103"/>
        <item x="138"/>
        <item x="158"/>
        <item x="45"/>
        <item x="53"/>
        <item x="147"/>
        <item x="32"/>
        <item x="38"/>
        <item x="135"/>
        <item x="28"/>
        <item x="110"/>
        <item x="65"/>
        <item x="80"/>
        <item x="126"/>
        <item x="112"/>
        <item x="77"/>
        <item x="35"/>
        <item x="108"/>
        <item x="62"/>
        <item x="37"/>
        <item x="63"/>
        <item x="24"/>
        <item x="156"/>
        <item x="55"/>
        <item x="83"/>
        <item x="104"/>
        <item x="75"/>
        <item t="default"/>
      </items>
    </pivotField>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1"/>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EBDE74-8DDF-4CAE-B2BD-43322A85EB3D}" sourceName="Region">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1"/>
    <pivotTable tabId="3" name="PivotTable13"/>
  </pivotTables>
  <data>
    <tabular pivotCacheId="924727024">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519C8C-3183-4008-B696-AF37C367020B}" sourceName="Category">
  <pivotTables>
    <pivotTable tabId="3" name="PivotTable3"/>
    <pivotTable tabId="3" name="PivotTable4"/>
    <pivotTable tabId="3" name="PivotTable5"/>
    <pivotTable tabId="3" name="PivotTable6"/>
    <pivotTable tabId="3" name="PivotTable7"/>
    <pivotTable tabId="3" name="PivotTable8"/>
    <pivotTable tabId="3" name="PivotTable11"/>
    <pivotTable tabId="3" name="PivotTable13"/>
  </pivotTables>
  <data>
    <tabular pivotCacheId="9247270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10CC8E5-E8DF-40DE-AE62-1795DAA0CB10}" cache="Slicer_Region" caption="Region" columnCount="2" rowHeight="324000"/>
  <slicer name="Category 1" xr10:uid="{8705DD61-4AE7-4023-A23F-961831734BCD}" cache="Slicer_Category" caption="Category"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5F9AF3-57B9-46A4-8E22-BE5F43B264C1}" cache="Slicer_Region" caption="Region" columnCount="2" rowHeight="324000"/>
  <slicer name="Category" xr10:uid="{0EEFB652-8A3E-45BE-94F2-C5B15FA74D27}" cache="Slicer_Category" caption="Category"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39EB5BA0-C70E-4C48-8F30-CE733F271064}" sourceName="Month">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1"/>
    <pivotTable tabId="3" name="PivotTable13"/>
  </pivotTables>
  <state minimalRefreshVersion="6" lastRefreshVersion="6" pivotCacheId="92472702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1" xr10:uid="{9A90710E-B88C-4C59-8611-65D750A2D52F}" cache="NativeTimeline_Month" caption="Month" showSelectionLabel="0" showHorizontalScrollbar="0"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6632DF2A-9504-4853-A015-A643D9CB771E}" cache="NativeTimeline_Month" caption="Month" showSelectionLabel="0" showHorizontalScrollbar="0" level="2" selectionLevel="2"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22BE-472A-4D12-9602-D14F851CD32B}">
  <dimension ref="A1:A98"/>
  <sheetViews>
    <sheetView tabSelected="1" workbookViewId="0">
      <selection activeCell="F17" sqref="F17"/>
    </sheetView>
  </sheetViews>
  <sheetFormatPr defaultRowHeight="14.4" x14ac:dyDescent="0.3"/>
  <sheetData>
    <row r="1" spans="1:1" ht="23.4" x14ac:dyDescent="0.3">
      <c r="A1" s="7" t="s">
        <v>191</v>
      </c>
    </row>
    <row r="3" spans="1:1" x14ac:dyDescent="0.3">
      <c r="A3" t="s">
        <v>192</v>
      </c>
    </row>
    <row r="5" spans="1:1" x14ac:dyDescent="0.3">
      <c r="A5" t="s">
        <v>193</v>
      </c>
    </row>
    <row r="8" spans="1:1" ht="23.4" x14ac:dyDescent="0.3">
      <c r="A8" s="7" t="s">
        <v>194</v>
      </c>
    </row>
    <row r="10" spans="1:1" x14ac:dyDescent="0.3">
      <c r="A10" t="s">
        <v>195</v>
      </c>
    </row>
    <row r="11" spans="1:1" x14ac:dyDescent="0.3">
      <c r="A11" s="8"/>
    </row>
    <row r="12" spans="1:1" x14ac:dyDescent="0.3">
      <c r="A12" s="8" t="s">
        <v>196</v>
      </c>
    </row>
    <row r="13" spans="1:1" x14ac:dyDescent="0.3">
      <c r="A13" s="8"/>
    </row>
    <row r="14" spans="1:1" x14ac:dyDescent="0.3">
      <c r="A14" s="8" t="s">
        <v>197</v>
      </c>
    </row>
    <row r="15" spans="1:1" x14ac:dyDescent="0.3">
      <c r="A15" s="8"/>
    </row>
    <row r="16" spans="1:1" x14ac:dyDescent="0.3">
      <c r="A16" s="8" t="s">
        <v>198</v>
      </c>
    </row>
    <row r="17" spans="1:1" x14ac:dyDescent="0.3">
      <c r="A17" s="8"/>
    </row>
    <row r="18" spans="1:1" x14ac:dyDescent="0.3">
      <c r="A18" s="8" t="s">
        <v>199</v>
      </c>
    </row>
    <row r="19" spans="1:1" x14ac:dyDescent="0.3">
      <c r="A19" s="8"/>
    </row>
    <row r="20" spans="1:1" x14ac:dyDescent="0.3">
      <c r="A20" s="8" t="s">
        <v>200</v>
      </c>
    </row>
    <row r="22" spans="1:1" x14ac:dyDescent="0.3">
      <c r="A22" t="s">
        <v>201</v>
      </c>
    </row>
    <row r="24" spans="1:1" ht="23.4" x14ac:dyDescent="0.3">
      <c r="A24" s="7" t="s">
        <v>202</v>
      </c>
    </row>
    <row r="26" spans="1:1" x14ac:dyDescent="0.3">
      <c r="A26" t="s">
        <v>203</v>
      </c>
    </row>
    <row r="27" spans="1:1" x14ac:dyDescent="0.3">
      <c r="A27" s="8"/>
    </row>
    <row r="28" spans="1:1" x14ac:dyDescent="0.3">
      <c r="A28" s="9" t="s">
        <v>204</v>
      </c>
    </row>
    <row r="29" spans="1:1" x14ac:dyDescent="0.3">
      <c r="A29" s="8"/>
    </row>
    <row r="30" spans="1:1" x14ac:dyDescent="0.3">
      <c r="A30" s="9" t="s">
        <v>205</v>
      </c>
    </row>
    <row r="31" spans="1:1" x14ac:dyDescent="0.3">
      <c r="A31" s="8"/>
    </row>
    <row r="32" spans="1:1" x14ac:dyDescent="0.3">
      <c r="A32" s="9" t="s">
        <v>206</v>
      </c>
    </row>
    <row r="33" spans="1:1" x14ac:dyDescent="0.3">
      <c r="A33" s="8"/>
    </row>
    <row r="34" spans="1:1" x14ac:dyDescent="0.3">
      <c r="A34" s="9" t="s">
        <v>207</v>
      </c>
    </row>
    <row r="35" spans="1:1" x14ac:dyDescent="0.3">
      <c r="A35" s="8"/>
    </row>
    <row r="36" spans="1:1" x14ac:dyDescent="0.3">
      <c r="A36" s="9" t="s">
        <v>208</v>
      </c>
    </row>
    <row r="37" spans="1:1" x14ac:dyDescent="0.3">
      <c r="A37" s="8"/>
    </row>
    <row r="38" spans="1:1" x14ac:dyDescent="0.3">
      <c r="A38" s="9" t="s">
        <v>209</v>
      </c>
    </row>
    <row r="39" spans="1:1" x14ac:dyDescent="0.3">
      <c r="A39" s="8"/>
    </row>
    <row r="40" spans="1:1" x14ac:dyDescent="0.3">
      <c r="A40" s="9" t="s">
        <v>210</v>
      </c>
    </row>
    <row r="42" spans="1:1" x14ac:dyDescent="0.3">
      <c r="A42" t="s">
        <v>211</v>
      </c>
    </row>
    <row r="44" spans="1:1" ht="23.4" x14ac:dyDescent="0.3">
      <c r="A44" s="7" t="s">
        <v>212</v>
      </c>
    </row>
    <row r="46" spans="1:1" x14ac:dyDescent="0.3">
      <c r="A46" t="s">
        <v>213</v>
      </c>
    </row>
    <row r="47" spans="1:1" x14ac:dyDescent="0.3">
      <c r="A47" s="8"/>
    </row>
    <row r="48" spans="1:1" x14ac:dyDescent="0.3">
      <c r="A48" s="9" t="s">
        <v>214</v>
      </c>
    </row>
    <row r="49" spans="1:1" x14ac:dyDescent="0.3">
      <c r="A49" s="8"/>
    </row>
    <row r="50" spans="1:1" x14ac:dyDescent="0.3">
      <c r="A50" s="9" t="s">
        <v>215</v>
      </c>
    </row>
    <row r="51" spans="1:1" x14ac:dyDescent="0.3">
      <c r="A51" s="8"/>
    </row>
    <row r="52" spans="1:1" x14ac:dyDescent="0.3">
      <c r="A52" s="9" t="s">
        <v>216</v>
      </c>
    </row>
    <row r="53" spans="1:1" x14ac:dyDescent="0.3">
      <c r="A53" s="8"/>
    </row>
    <row r="54" spans="1:1" x14ac:dyDescent="0.3">
      <c r="A54" s="9" t="s">
        <v>217</v>
      </c>
    </row>
    <row r="55" spans="1:1" x14ac:dyDescent="0.3">
      <c r="A55" s="8"/>
    </row>
    <row r="56" spans="1:1" x14ac:dyDescent="0.3">
      <c r="A56" s="9" t="s">
        <v>218</v>
      </c>
    </row>
    <row r="57" spans="1:1" x14ac:dyDescent="0.3">
      <c r="A57" s="8"/>
    </row>
    <row r="58" spans="1:1" x14ac:dyDescent="0.3">
      <c r="A58" s="9" t="s">
        <v>219</v>
      </c>
    </row>
    <row r="59" spans="1:1" x14ac:dyDescent="0.3">
      <c r="A59" s="8"/>
    </row>
    <row r="60" spans="1:1" x14ac:dyDescent="0.3">
      <c r="A60" s="9" t="s">
        <v>220</v>
      </c>
    </row>
    <row r="62" spans="1:1" ht="23.4" x14ac:dyDescent="0.3">
      <c r="A62" s="7" t="s">
        <v>221</v>
      </c>
    </row>
    <row r="63" spans="1:1" x14ac:dyDescent="0.3">
      <c r="A63" s="8"/>
    </row>
    <row r="64" spans="1:1" x14ac:dyDescent="0.3">
      <c r="A64" s="8" t="s">
        <v>222</v>
      </c>
    </row>
    <row r="65" spans="1:1" x14ac:dyDescent="0.3">
      <c r="A65" s="8"/>
    </row>
    <row r="66" spans="1:1" x14ac:dyDescent="0.3">
      <c r="A66" s="8" t="s">
        <v>223</v>
      </c>
    </row>
    <row r="67" spans="1:1" x14ac:dyDescent="0.3">
      <c r="A67" s="8"/>
    </row>
    <row r="68" spans="1:1" x14ac:dyDescent="0.3">
      <c r="A68" s="8" t="s">
        <v>224</v>
      </c>
    </row>
    <row r="69" spans="1:1" x14ac:dyDescent="0.3">
      <c r="A69" s="8"/>
    </row>
    <row r="70" spans="1:1" x14ac:dyDescent="0.3">
      <c r="A70" s="8" t="s">
        <v>225</v>
      </c>
    </row>
    <row r="72" spans="1:1" ht="23.4" x14ac:dyDescent="0.3">
      <c r="A72" s="7" t="s">
        <v>226</v>
      </c>
    </row>
    <row r="74" spans="1:1" x14ac:dyDescent="0.3">
      <c r="A74" t="s">
        <v>227</v>
      </c>
    </row>
    <row r="75" spans="1:1" x14ac:dyDescent="0.3">
      <c r="A75" s="8"/>
    </row>
    <row r="76" spans="1:1" x14ac:dyDescent="0.3">
      <c r="A76" s="8" t="s">
        <v>228</v>
      </c>
    </row>
    <row r="77" spans="1:1" x14ac:dyDescent="0.3">
      <c r="A77" s="8"/>
    </row>
    <row r="78" spans="1:1" x14ac:dyDescent="0.3">
      <c r="A78" s="8" t="s">
        <v>229</v>
      </c>
    </row>
    <row r="79" spans="1:1" x14ac:dyDescent="0.3">
      <c r="A79" s="8"/>
    </row>
    <row r="80" spans="1:1" x14ac:dyDescent="0.3">
      <c r="A80" s="8" t="s">
        <v>230</v>
      </c>
    </row>
    <row r="81" spans="1:1" x14ac:dyDescent="0.3">
      <c r="A81" s="8"/>
    </row>
    <row r="82" spans="1:1" x14ac:dyDescent="0.3">
      <c r="A82" s="8" t="s">
        <v>231</v>
      </c>
    </row>
    <row r="83" spans="1:1" x14ac:dyDescent="0.3">
      <c r="A83" s="8"/>
    </row>
    <row r="84" spans="1:1" x14ac:dyDescent="0.3">
      <c r="A84" s="8" t="s">
        <v>232</v>
      </c>
    </row>
    <row r="86" spans="1:1" ht="23.4" x14ac:dyDescent="0.3">
      <c r="A86" s="7" t="s">
        <v>233</v>
      </c>
    </row>
    <row r="87" spans="1:1" x14ac:dyDescent="0.3">
      <c r="A87" s="8"/>
    </row>
    <row r="88" spans="1:1" x14ac:dyDescent="0.3">
      <c r="A88" s="8" t="s">
        <v>234</v>
      </c>
    </row>
    <row r="89" spans="1:1" x14ac:dyDescent="0.3">
      <c r="A89" s="8"/>
    </row>
    <row r="90" spans="1:1" x14ac:dyDescent="0.3">
      <c r="A90" s="8" t="s">
        <v>235</v>
      </c>
    </row>
    <row r="91" spans="1:1" x14ac:dyDescent="0.3">
      <c r="A91" s="8"/>
    </row>
    <row r="92" spans="1:1" x14ac:dyDescent="0.3">
      <c r="A92" s="8" t="s">
        <v>236</v>
      </c>
    </row>
    <row r="93" spans="1:1" x14ac:dyDescent="0.3">
      <c r="A93" s="8"/>
    </row>
    <row r="94" spans="1:1" x14ac:dyDescent="0.3">
      <c r="A94" s="8" t="s">
        <v>237</v>
      </c>
    </row>
    <row r="95" spans="1:1" x14ac:dyDescent="0.3">
      <c r="A95" s="8"/>
    </row>
    <row r="96" spans="1:1" x14ac:dyDescent="0.3">
      <c r="A96" s="8"/>
    </row>
    <row r="97" spans="1:1" x14ac:dyDescent="0.3">
      <c r="A97" s="8"/>
    </row>
    <row r="98" spans="1:1" x14ac:dyDescent="0.3">
      <c r="A98"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3B12-9116-4A58-BA07-EF901F65C2C2}">
  <dimension ref="A1"/>
  <sheetViews>
    <sheetView showGridLines="0" zoomScaleNormal="100" workbookViewId="0">
      <selection activeCell="M29" sqref="M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2E6AF-6209-4552-8034-3599E90AE14B}">
  <dimension ref="A3:N21"/>
  <sheetViews>
    <sheetView topLeftCell="C1" workbookViewId="0">
      <selection activeCell="M29" sqref="M29"/>
    </sheetView>
  </sheetViews>
  <sheetFormatPr defaultRowHeight="14.4" x14ac:dyDescent="0.3"/>
  <cols>
    <col min="1" max="1" width="12.5546875" bestFit="1" customWidth="1"/>
    <col min="3" max="3" width="12.5546875" bestFit="1" customWidth="1"/>
    <col min="5" max="5" width="12.6640625" bestFit="1" customWidth="1"/>
    <col min="7" max="7" width="12.5546875" bestFit="1" customWidth="1"/>
    <col min="8" max="8" width="14.44140625" bestFit="1" customWidth="1"/>
    <col min="10" max="10" width="12.5546875" bestFit="1" customWidth="1"/>
    <col min="11" max="11" width="14.44140625" bestFit="1" customWidth="1"/>
    <col min="13" max="13" width="20.44140625" bestFit="1" customWidth="1"/>
    <col min="14" max="14" width="22.88671875" bestFit="1" customWidth="1"/>
  </cols>
  <sheetData>
    <row r="3" spans="1:14" x14ac:dyDescent="0.3">
      <c r="A3" s="3" t="s">
        <v>173</v>
      </c>
      <c r="C3" s="3" t="s">
        <v>173</v>
      </c>
      <c r="E3" s="3" t="s">
        <v>173</v>
      </c>
      <c r="G3" s="3" t="s">
        <v>173</v>
      </c>
      <c r="H3" t="s">
        <v>176</v>
      </c>
      <c r="J3" s="3" t="s">
        <v>173</v>
      </c>
      <c r="K3" t="s">
        <v>176</v>
      </c>
      <c r="M3" s="3" t="s">
        <v>173</v>
      </c>
      <c r="N3" t="s">
        <v>176</v>
      </c>
    </row>
    <row r="4" spans="1:14" x14ac:dyDescent="0.3">
      <c r="A4" s="4" t="s">
        <v>180</v>
      </c>
      <c r="C4" s="4" t="s">
        <v>12</v>
      </c>
      <c r="E4" s="4" t="s">
        <v>10</v>
      </c>
      <c r="G4" s="4" t="s">
        <v>12</v>
      </c>
      <c r="H4">
        <v>5830838</v>
      </c>
      <c r="J4" s="4" t="s">
        <v>180</v>
      </c>
      <c r="K4">
        <v>1647713</v>
      </c>
      <c r="M4" s="4" t="s">
        <v>10</v>
      </c>
      <c r="N4">
        <v>11102391</v>
      </c>
    </row>
    <row r="5" spans="1:14" x14ac:dyDescent="0.3">
      <c r="A5" s="4" t="s">
        <v>175</v>
      </c>
      <c r="C5" s="4" t="s">
        <v>11</v>
      </c>
      <c r="E5" s="4" t="s">
        <v>14</v>
      </c>
      <c r="G5" s="4" t="s">
        <v>11</v>
      </c>
      <c r="H5">
        <v>7194843</v>
      </c>
      <c r="J5" s="4" t="s">
        <v>175</v>
      </c>
      <c r="K5">
        <v>2170215</v>
      </c>
      <c r="M5" s="4" t="s">
        <v>14</v>
      </c>
      <c r="N5">
        <v>7219064</v>
      </c>
    </row>
    <row r="6" spans="1:14" x14ac:dyDescent="0.3">
      <c r="A6" s="4" t="s">
        <v>181</v>
      </c>
      <c r="C6" s="4" t="s">
        <v>18</v>
      </c>
      <c r="E6" s="4" t="s">
        <v>7</v>
      </c>
      <c r="G6" s="4" t="s">
        <v>18</v>
      </c>
      <c r="H6">
        <v>6647105</v>
      </c>
      <c r="J6" s="4" t="s">
        <v>181</v>
      </c>
      <c r="K6">
        <v>2805690</v>
      </c>
      <c r="M6" s="4" t="s">
        <v>7</v>
      </c>
      <c r="N6">
        <v>7638357</v>
      </c>
    </row>
    <row r="7" spans="1:14" x14ac:dyDescent="0.3">
      <c r="A7" s="4" t="s">
        <v>182</v>
      </c>
      <c r="C7" s="4" t="s">
        <v>9</v>
      </c>
      <c r="E7" s="4" t="s">
        <v>174</v>
      </c>
      <c r="G7" s="4" t="s">
        <v>9</v>
      </c>
      <c r="H7">
        <v>6287026</v>
      </c>
      <c r="J7" s="4" t="s">
        <v>182</v>
      </c>
      <c r="K7">
        <v>959522</v>
      </c>
      <c r="M7" s="4" t="s">
        <v>174</v>
      </c>
      <c r="N7">
        <v>25959812</v>
      </c>
    </row>
    <row r="8" spans="1:14" x14ac:dyDescent="0.3">
      <c r="A8" s="4" t="s">
        <v>183</v>
      </c>
      <c r="C8" s="4" t="s">
        <v>174</v>
      </c>
      <c r="G8" s="4" t="s">
        <v>174</v>
      </c>
      <c r="H8">
        <v>25959812</v>
      </c>
      <c r="J8" s="4" t="s">
        <v>183</v>
      </c>
      <c r="K8">
        <v>2129761</v>
      </c>
    </row>
    <row r="9" spans="1:14" x14ac:dyDescent="0.3">
      <c r="A9" s="4" t="s">
        <v>184</v>
      </c>
      <c r="J9" s="4" t="s">
        <v>184</v>
      </c>
      <c r="K9">
        <v>3071476</v>
      </c>
      <c r="M9" t="s">
        <v>176</v>
      </c>
    </row>
    <row r="10" spans="1:14" x14ac:dyDescent="0.3">
      <c r="A10" s="4" t="s">
        <v>185</v>
      </c>
      <c r="J10" s="4" t="s">
        <v>185</v>
      </c>
      <c r="K10">
        <v>1857533</v>
      </c>
      <c r="M10">
        <v>25959812</v>
      </c>
      <c r="N10" s="5">
        <f>GETPIVOTDATA("Amount",$M$9)</f>
        <v>25959812</v>
      </c>
    </row>
    <row r="11" spans="1:14" x14ac:dyDescent="0.3">
      <c r="A11" s="4" t="s">
        <v>186</v>
      </c>
      <c r="J11" s="4" t="s">
        <v>186</v>
      </c>
      <c r="K11">
        <v>3166804</v>
      </c>
      <c r="N11" s="5"/>
    </row>
    <row r="12" spans="1:14" x14ac:dyDescent="0.3">
      <c r="A12" s="4" t="s">
        <v>187</v>
      </c>
      <c r="J12" s="4" t="s">
        <v>187</v>
      </c>
      <c r="K12">
        <v>1871326</v>
      </c>
      <c r="M12" t="s">
        <v>177</v>
      </c>
    </row>
    <row r="13" spans="1:14" x14ac:dyDescent="0.3">
      <c r="A13" s="4" t="s">
        <v>188</v>
      </c>
      <c r="J13" s="4" t="s">
        <v>188</v>
      </c>
      <c r="K13">
        <v>2118248</v>
      </c>
      <c r="M13">
        <v>200</v>
      </c>
      <c r="N13">
        <f>GETPIVOTDATA("Amount",$M$12)</f>
        <v>200</v>
      </c>
    </row>
    <row r="14" spans="1:14" x14ac:dyDescent="0.3">
      <c r="A14" s="4" t="s">
        <v>189</v>
      </c>
      <c r="J14" s="4" t="s">
        <v>189</v>
      </c>
      <c r="K14">
        <v>2119840</v>
      </c>
    </row>
    <row r="15" spans="1:14" x14ac:dyDescent="0.3">
      <c r="A15" s="4" t="s">
        <v>190</v>
      </c>
      <c r="J15" s="4" t="s">
        <v>190</v>
      </c>
      <c r="K15">
        <v>2041684</v>
      </c>
      <c r="M15" s="3" t="s">
        <v>173</v>
      </c>
      <c r="N15" t="s">
        <v>178</v>
      </c>
    </row>
    <row r="16" spans="1:14" x14ac:dyDescent="0.3">
      <c r="A16" s="4" t="s">
        <v>174</v>
      </c>
      <c r="J16" s="4" t="s">
        <v>174</v>
      </c>
      <c r="K16">
        <v>25959812</v>
      </c>
      <c r="M16" s="4" t="s">
        <v>15</v>
      </c>
      <c r="N16" s="6">
        <v>0.44</v>
      </c>
    </row>
    <row r="17" spans="13:14" x14ac:dyDescent="0.3">
      <c r="M17" s="4" t="s">
        <v>8</v>
      </c>
      <c r="N17" s="6">
        <v>0.56000000000000005</v>
      </c>
    </row>
    <row r="18" spans="13:14" x14ac:dyDescent="0.3">
      <c r="M18" s="4" t="s">
        <v>174</v>
      </c>
      <c r="N18" s="6">
        <v>1</v>
      </c>
    </row>
    <row r="20" spans="13:14" x14ac:dyDescent="0.3">
      <c r="M20" t="s">
        <v>179</v>
      </c>
    </row>
    <row r="21" spans="13:14" x14ac:dyDescent="0.3">
      <c r="M21">
        <v>12.31</v>
      </c>
      <c r="N21">
        <f>GETPIVOTDATA("Delay_Days",$M$20)</f>
        <v>12.31</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0EF25-C9D8-468D-8725-3FC34F72B6D6}">
  <dimension ref="A1:G201"/>
  <sheetViews>
    <sheetView workbookViewId="0">
      <selection activeCell="A2" sqref="A2:A200"/>
    </sheetView>
  </sheetViews>
  <sheetFormatPr defaultRowHeight="14.4" x14ac:dyDescent="0.3"/>
  <cols>
    <col min="1" max="1" width="13.21875" bestFit="1" customWidth="1"/>
    <col min="2" max="2" width="11.21875" bestFit="1" customWidth="1"/>
    <col min="3" max="3" width="12.6640625" bestFit="1" customWidth="1"/>
    <col min="4" max="4" width="7.88671875" bestFit="1" customWidth="1"/>
    <col min="5" max="5" width="14.88671875" bestFit="1" customWidth="1"/>
    <col min="6" max="6" width="10.6640625" bestFit="1" customWidth="1"/>
    <col min="7" max="7" width="6.77734375" bestFit="1" customWidth="1"/>
  </cols>
  <sheetData>
    <row r="1" spans="1:7" x14ac:dyDescent="0.3">
      <c r="A1" s="1" t="s">
        <v>1</v>
      </c>
      <c r="B1" s="1" t="s">
        <v>2</v>
      </c>
      <c r="C1" s="1" t="s">
        <v>0</v>
      </c>
      <c r="D1" s="1" t="s">
        <v>3</v>
      </c>
      <c r="E1" s="1" t="s">
        <v>4</v>
      </c>
      <c r="F1" s="1" t="s">
        <v>5</v>
      </c>
      <c r="G1" s="1" t="s">
        <v>6</v>
      </c>
    </row>
    <row r="2" spans="1:7" x14ac:dyDescent="0.3">
      <c r="A2" t="s">
        <v>77</v>
      </c>
      <c r="B2" s="2">
        <v>45513</v>
      </c>
      <c r="C2" t="s">
        <v>10</v>
      </c>
      <c r="D2">
        <v>73040</v>
      </c>
      <c r="E2" t="s">
        <v>8</v>
      </c>
      <c r="F2">
        <v>6</v>
      </c>
      <c r="G2" t="s">
        <v>9</v>
      </c>
    </row>
    <row r="3" spans="1:7" x14ac:dyDescent="0.3">
      <c r="A3" t="s">
        <v>65</v>
      </c>
      <c r="B3" s="2">
        <v>45508</v>
      </c>
      <c r="C3" t="s">
        <v>7</v>
      </c>
      <c r="D3">
        <v>175345</v>
      </c>
      <c r="E3" t="s">
        <v>8</v>
      </c>
      <c r="F3">
        <v>3</v>
      </c>
      <c r="G3" t="s">
        <v>18</v>
      </c>
    </row>
    <row r="4" spans="1:7" x14ac:dyDescent="0.3">
      <c r="A4" t="s">
        <v>78</v>
      </c>
      <c r="B4" s="2">
        <v>45441</v>
      </c>
      <c r="C4" t="s">
        <v>10</v>
      </c>
      <c r="D4">
        <v>139917</v>
      </c>
      <c r="E4" t="s">
        <v>15</v>
      </c>
      <c r="F4">
        <v>14</v>
      </c>
      <c r="G4" t="s">
        <v>11</v>
      </c>
    </row>
    <row r="5" spans="1:7" x14ac:dyDescent="0.3">
      <c r="A5" t="s">
        <v>79</v>
      </c>
      <c r="B5" s="2">
        <v>45391</v>
      </c>
      <c r="C5" t="s">
        <v>7</v>
      </c>
      <c r="D5">
        <v>158168</v>
      </c>
      <c r="E5" t="s">
        <v>8</v>
      </c>
      <c r="F5">
        <v>11</v>
      </c>
      <c r="G5" t="s">
        <v>9</v>
      </c>
    </row>
    <row r="6" spans="1:7" x14ac:dyDescent="0.3">
      <c r="A6" t="s">
        <v>26</v>
      </c>
      <c r="B6" s="2">
        <v>45364</v>
      </c>
      <c r="C6" t="s">
        <v>10</v>
      </c>
      <c r="D6">
        <v>213302</v>
      </c>
      <c r="E6" t="s">
        <v>8</v>
      </c>
      <c r="F6">
        <v>1</v>
      </c>
      <c r="G6" t="s">
        <v>12</v>
      </c>
    </row>
    <row r="7" spans="1:7" x14ac:dyDescent="0.3">
      <c r="A7" t="s">
        <v>80</v>
      </c>
      <c r="B7" s="2">
        <v>45310</v>
      </c>
      <c r="C7" t="s">
        <v>7</v>
      </c>
      <c r="D7">
        <v>173264</v>
      </c>
      <c r="E7" t="s">
        <v>15</v>
      </c>
      <c r="F7">
        <v>4</v>
      </c>
      <c r="G7" t="s">
        <v>12</v>
      </c>
    </row>
    <row r="8" spans="1:7" x14ac:dyDescent="0.3">
      <c r="A8" t="s">
        <v>50</v>
      </c>
      <c r="B8" s="2">
        <v>45496</v>
      </c>
      <c r="C8" t="s">
        <v>7</v>
      </c>
      <c r="D8">
        <v>128142</v>
      </c>
      <c r="E8" t="s">
        <v>15</v>
      </c>
      <c r="F8">
        <v>21</v>
      </c>
      <c r="G8" t="s">
        <v>12</v>
      </c>
    </row>
    <row r="9" spans="1:7" x14ac:dyDescent="0.3">
      <c r="A9" t="s">
        <v>23</v>
      </c>
      <c r="B9" s="2">
        <v>45348</v>
      </c>
      <c r="C9" t="s">
        <v>14</v>
      </c>
      <c r="D9">
        <v>139262</v>
      </c>
      <c r="E9" t="s">
        <v>8</v>
      </c>
      <c r="F9">
        <v>4</v>
      </c>
      <c r="G9" t="s">
        <v>11</v>
      </c>
    </row>
    <row r="10" spans="1:7" x14ac:dyDescent="0.3">
      <c r="A10" t="s">
        <v>70</v>
      </c>
      <c r="B10" s="2">
        <v>45414</v>
      </c>
      <c r="C10" t="s">
        <v>7</v>
      </c>
      <c r="D10">
        <v>208881</v>
      </c>
      <c r="E10" t="s">
        <v>8</v>
      </c>
      <c r="F10">
        <v>23</v>
      </c>
      <c r="G10" t="s">
        <v>18</v>
      </c>
    </row>
    <row r="11" spans="1:7" x14ac:dyDescent="0.3">
      <c r="A11" t="s">
        <v>58</v>
      </c>
      <c r="B11" s="2">
        <v>45357</v>
      </c>
      <c r="C11" t="s">
        <v>14</v>
      </c>
      <c r="D11">
        <v>211661</v>
      </c>
      <c r="E11" t="s">
        <v>8</v>
      </c>
      <c r="F11">
        <v>9</v>
      </c>
      <c r="G11" t="s">
        <v>18</v>
      </c>
    </row>
    <row r="12" spans="1:7" x14ac:dyDescent="0.3">
      <c r="A12" t="s">
        <v>81</v>
      </c>
      <c r="B12" s="2">
        <v>45535</v>
      </c>
      <c r="C12" t="s">
        <v>7</v>
      </c>
      <c r="D12">
        <v>29913</v>
      </c>
      <c r="E12" t="s">
        <v>15</v>
      </c>
      <c r="F12">
        <v>8</v>
      </c>
      <c r="G12" t="s">
        <v>12</v>
      </c>
    </row>
    <row r="13" spans="1:7" x14ac:dyDescent="0.3">
      <c r="A13" t="s">
        <v>82</v>
      </c>
      <c r="B13" s="2">
        <v>45443</v>
      </c>
      <c r="C13" t="s">
        <v>10</v>
      </c>
      <c r="D13">
        <v>208720</v>
      </c>
      <c r="E13" t="s">
        <v>8</v>
      </c>
      <c r="F13">
        <v>11</v>
      </c>
      <c r="G13" t="s">
        <v>11</v>
      </c>
    </row>
    <row r="14" spans="1:7" x14ac:dyDescent="0.3">
      <c r="A14" t="s">
        <v>83</v>
      </c>
      <c r="B14" s="2">
        <v>45455</v>
      </c>
      <c r="C14" t="s">
        <v>7</v>
      </c>
      <c r="D14">
        <v>56201</v>
      </c>
      <c r="E14" t="s">
        <v>8</v>
      </c>
      <c r="F14">
        <v>18</v>
      </c>
      <c r="G14" t="s">
        <v>18</v>
      </c>
    </row>
    <row r="15" spans="1:7" x14ac:dyDescent="0.3">
      <c r="A15" t="s">
        <v>84</v>
      </c>
      <c r="B15" s="2">
        <v>45376</v>
      </c>
      <c r="C15" t="s">
        <v>10</v>
      </c>
      <c r="D15">
        <v>215661</v>
      </c>
      <c r="E15" t="s">
        <v>8</v>
      </c>
      <c r="F15">
        <v>4</v>
      </c>
      <c r="G15" t="s">
        <v>12</v>
      </c>
    </row>
    <row r="16" spans="1:7" x14ac:dyDescent="0.3">
      <c r="A16" t="s">
        <v>25</v>
      </c>
      <c r="B16" s="2">
        <v>45546</v>
      </c>
      <c r="C16" t="s">
        <v>7</v>
      </c>
      <c r="D16">
        <v>14364</v>
      </c>
      <c r="E16" t="s">
        <v>8</v>
      </c>
      <c r="F16">
        <v>11</v>
      </c>
      <c r="G16" t="s">
        <v>11</v>
      </c>
    </row>
    <row r="17" spans="1:7" x14ac:dyDescent="0.3">
      <c r="A17" t="s">
        <v>16</v>
      </c>
      <c r="B17" s="2">
        <v>45521</v>
      </c>
      <c r="C17" t="s">
        <v>10</v>
      </c>
      <c r="D17">
        <v>84484</v>
      </c>
      <c r="E17" t="s">
        <v>8</v>
      </c>
      <c r="F17">
        <v>5</v>
      </c>
      <c r="G17" t="s">
        <v>9</v>
      </c>
    </row>
    <row r="18" spans="1:7" x14ac:dyDescent="0.3">
      <c r="A18" t="s">
        <v>85</v>
      </c>
      <c r="B18" s="2">
        <v>45573</v>
      </c>
      <c r="C18" t="s">
        <v>10</v>
      </c>
      <c r="D18">
        <v>72853</v>
      </c>
      <c r="E18" t="s">
        <v>8</v>
      </c>
      <c r="F18">
        <v>24</v>
      </c>
      <c r="G18" t="s">
        <v>18</v>
      </c>
    </row>
    <row r="19" spans="1:7" x14ac:dyDescent="0.3">
      <c r="A19" t="s">
        <v>86</v>
      </c>
      <c r="B19" s="2">
        <v>45306</v>
      </c>
      <c r="C19" t="s">
        <v>14</v>
      </c>
      <c r="D19">
        <v>130262</v>
      </c>
      <c r="E19" t="s">
        <v>8</v>
      </c>
      <c r="F19">
        <v>0</v>
      </c>
      <c r="G19" t="s">
        <v>12</v>
      </c>
    </row>
    <row r="20" spans="1:7" x14ac:dyDescent="0.3">
      <c r="A20" t="s">
        <v>87</v>
      </c>
      <c r="B20" s="2">
        <v>45301</v>
      </c>
      <c r="C20" t="s">
        <v>10</v>
      </c>
      <c r="D20">
        <v>75763</v>
      </c>
      <c r="E20" t="s">
        <v>8</v>
      </c>
      <c r="F20">
        <v>6</v>
      </c>
      <c r="G20" t="s">
        <v>18</v>
      </c>
    </row>
    <row r="21" spans="1:7" x14ac:dyDescent="0.3">
      <c r="A21" t="s">
        <v>88</v>
      </c>
      <c r="B21" s="2">
        <v>45474</v>
      </c>
      <c r="C21" t="s">
        <v>10</v>
      </c>
      <c r="D21">
        <v>45345</v>
      </c>
      <c r="E21" t="s">
        <v>8</v>
      </c>
      <c r="F21">
        <v>15</v>
      </c>
      <c r="G21" t="s">
        <v>9</v>
      </c>
    </row>
    <row r="22" spans="1:7" x14ac:dyDescent="0.3">
      <c r="A22" t="s">
        <v>89</v>
      </c>
      <c r="B22" s="2">
        <v>45469</v>
      </c>
      <c r="C22" t="s">
        <v>7</v>
      </c>
      <c r="D22">
        <v>123679</v>
      </c>
      <c r="E22" t="s">
        <v>8</v>
      </c>
      <c r="F22">
        <v>21</v>
      </c>
      <c r="G22" t="s">
        <v>11</v>
      </c>
    </row>
    <row r="23" spans="1:7" x14ac:dyDescent="0.3">
      <c r="A23" t="s">
        <v>90</v>
      </c>
      <c r="B23" s="2">
        <v>45455</v>
      </c>
      <c r="C23" t="s">
        <v>7</v>
      </c>
      <c r="D23">
        <v>119606</v>
      </c>
      <c r="E23" t="s">
        <v>8</v>
      </c>
      <c r="F23">
        <v>16</v>
      </c>
      <c r="G23" t="s">
        <v>12</v>
      </c>
    </row>
    <row r="24" spans="1:7" x14ac:dyDescent="0.3">
      <c r="A24" t="s">
        <v>91</v>
      </c>
      <c r="B24" s="2">
        <v>45414</v>
      </c>
      <c r="C24" t="s">
        <v>7</v>
      </c>
      <c r="D24">
        <v>163296</v>
      </c>
      <c r="E24" t="s">
        <v>8</v>
      </c>
      <c r="F24">
        <v>8</v>
      </c>
      <c r="G24" t="s">
        <v>18</v>
      </c>
    </row>
    <row r="25" spans="1:7" x14ac:dyDescent="0.3">
      <c r="A25" t="s">
        <v>69</v>
      </c>
      <c r="B25" s="2">
        <v>45579</v>
      </c>
      <c r="C25" t="s">
        <v>7</v>
      </c>
      <c r="D25">
        <v>111497</v>
      </c>
      <c r="E25" t="s">
        <v>8</v>
      </c>
      <c r="F25">
        <v>1</v>
      </c>
      <c r="G25" t="s">
        <v>12</v>
      </c>
    </row>
    <row r="26" spans="1:7" x14ac:dyDescent="0.3">
      <c r="A26" t="s">
        <v>90</v>
      </c>
      <c r="B26" s="2">
        <v>45377</v>
      </c>
      <c r="C26" t="s">
        <v>14</v>
      </c>
      <c r="D26">
        <v>87432</v>
      </c>
      <c r="E26" t="s">
        <v>8</v>
      </c>
      <c r="F26">
        <v>23</v>
      </c>
      <c r="G26" t="s">
        <v>9</v>
      </c>
    </row>
    <row r="27" spans="1:7" x14ac:dyDescent="0.3">
      <c r="A27" t="s">
        <v>92</v>
      </c>
      <c r="B27" s="2">
        <v>45497</v>
      </c>
      <c r="C27" t="s">
        <v>10</v>
      </c>
      <c r="D27">
        <v>105101</v>
      </c>
      <c r="E27" t="s">
        <v>15</v>
      </c>
      <c r="F27">
        <v>17</v>
      </c>
      <c r="G27" t="s">
        <v>18</v>
      </c>
    </row>
    <row r="28" spans="1:7" x14ac:dyDescent="0.3">
      <c r="A28" t="s">
        <v>23</v>
      </c>
      <c r="B28" s="2">
        <v>45643</v>
      </c>
      <c r="C28" t="s">
        <v>14</v>
      </c>
      <c r="D28">
        <v>123465</v>
      </c>
      <c r="E28" t="s">
        <v>15</v>
      </c>
      <c r="F28">
        <v>17</v>
      </c>
      <c r="G28" t="s">
        <v>18</v>
      </c>
    </row>
    <row r="29" spans="1:7" x14ac:dyDescent="0.3">
      <c r="A29" t="s">
        <v>41</v>
      </c>
      <c r="B29" s="2">
        <v>45489</v>
      </c>
      <c r="C29" t="s">
        <v>10</v>
      </c>
      <c r="D29">
        <v>104157</v>
      </c>
      <c r="E29" t="s">
        <v>15</v>
      </c>
      <c r="F29">
        <v>15</v>
      </c>
      <c r="G29" t="s">
        <v>12</v>
      </c>
    </row>
    <row r="30" spans="1:7" x14ac:dyDescent="0.3">
      <c r="A30" t="s">
        <v>59</v>
      </c>
      <c r="B30" s="2">
        <v>45529</v>
      </c>
      <c r="C30" t="s">
        <v>14</v>
      </c>
      <c r="D30">
        <v>74555</v>
      </c>
      <c r="E30" t="s">
        <v>8</v>
      </c>
      <c r="F30">
        <v>7</v>
      </c>
      <c r="G30" t="s">
        <v>12</v>
      </c>
    </row>
    <row r="31" spans="1:7" x14ac:dyDescent="0.3">
      <c r="A31" t="s">
        <v>54</v>
      </c>
      <c r="B31" s="2">
        <v>45388</v>
      </c>
      <c r="C31" t="s">
        <v>7</v>
      </c>
      <c r="D31">
        <v>28966</v>
      </c>
      <c r="E31" t="s">
        <v>15</v>
      </c>
      <c r="F31">
        <v>1</v>
      </c>
      <c r="G31" t="s">
        <v>11</v>
      </c>
    </row>
    <row r="32" spans="1:7" x14ac:dyDescent="0.3">
      <c r="A32" t="s">
        <v>93</v>
      </c>
      <c r="B32" s="2">
        <v>45617</v>
      </c>
      <c r="C32" t="s">
        <v>14</v>
      </c>
      <c r="D32">
        <v>230650</v>
      </c>
      <c r="E32" t="s">
        <v>8</v>
      </c>
      <c r="F32">
        <v>5</v>
      </c>
      <c r="G32" t="s">
        <v>9</v>
      </c>
    </row>
    <row r="33" spans="1:7" x14ac:dyDescent="0.3">
      <c r="A33" t="s">
        <v>16</v>
      </c>
      <c r="B33" s="2">
        <v>45574</v>
      </c>
      <c r="C33" t="s">
        <v>10</v>
      </c>
      <c r="D33">
        <v>37949</v>
      </c>
      <c r="E33" t="s">
        <v>8</v>
      </c>
      <c r="F33">
        <v>5</v>
      </c>
      <c r="G33" t="s">
        <v>9</v>
      </c>
    </row>
    <row r="34" spans="1:7" x14ac:dyDescent="0.3">
      <c r="A34" t="s">
        <v>42</v>
      </c>
      <c r="B34" s="2">
        <v>45341</v>
      </c>
      <c r="C34" t="s">
        <v>7</v>
      </c>
      <c r="D34">
        <v>124269</v>
      </c>
      <c r="E34" t="s">
        <v>15</v>
      </c>
      <c r="F34">
        <v>17</v>
      </c>
      <c r="G34" t="s">
        <v>12</v>
      </c>
    </row>
    <row r="35" spans="1:7" x14ac:dyDescent="0.3">
      <c r="A35" t="s">
        <v>78</v>
      </c>
      <c r="B35" s="2">
        <v>45553</v>
      </c>
      <c r="C35" t="s">
        <v>14</v>
      </c>
      <c r="D35">
        <v>55978</v>
      </c>
      <c r="E35" t="s">
        <v>8</v>
      </c>
      <c r="F35">
        <v>19</v>
      </c>
      <c r="G35" t="s">
        <v>11</v>
      </c>
    </row>
    <row r="36" spans="1:7" x14ac:dyDescent="0.3">
      <c r="A36" t="s">
        <v>94</v>
      </c>
      <c r="B36" s="2">
        <v>45613</v>
      </c>
      <c r="C36" t="s">
        <v>7</v>
      </c>
      <c r="D36">
        <v>231964</v>
      </c>
      <c r="E36" t="s">
        <v>8</v>
      </c>
      <c r="F36">
        <v>17</v>
      </c>
      <c r="G36" t="s">
        <v>9</v>
      </c>
    </row>
    <row r="37" spans="1:7" x14ac:dyDescent="0.3">
      <c r="A37" t="s">
        <v>95</v>
      </c>
      <c r="B37" s="2">
        <v>45461</v>
      </c>
      <c r="C37" t="s">
        <v>10</v>
      </c>
      <c r="D37">
        <v>209955</v>
      </c>
      <c r="E37" t="s">
        <v>15</v>
      </c>
      <c r="F37">
        <v>11</v>
      </c>
      <c r="G37" t="s">
        <v>11</v>
      </c>
    </row>
    <row r="38" spans="1:7" x14ac:dyDescent="0.3">
      <c r="A38" t="s">
        <v>96</v>
      </c>
      <c r="B38" s="2">
        <v>45390</v>
      </c>
      <c r="C38" t="s">
        <v>10</v>
      </c>
      <c r="D38">
        <v>178108</v>
      </c>
      <c r="E38" t="s">
        <v>15</v>
      </c>
      <c r="F38">
        <v>15</v>
      </c>
      <c r="G38" t="s">
        <v>12</v>
      </c>
    </row>
    <row r="39" spans="1:7" x14ac:dyDescent="0.3">
      <c r="A39" t="s">
        <v>97</v>
      </c>
      <c r="B39" s="2">
        <v>45637</v>
      </c>
      <c r="C39" t="s">
        <v>10</v>
      </c>
      <c r="D39">
        <v>155553</v>
      </c>
      <c r="E39" t="s">
        <v>8</v>
      </c>
      <c r="F39">
        <v>21</v>
      </c>
      <c r="G39" t="s">
        <v>9</v>
      </c>
    </row>
    <row r="40" spans="1:7" x14ac:dyDescent="0.3">
      <c r="A40" t="s">
        <v>76</v>
      </c>
      <c r="B40" s="2">
        <v>45455</v>
      </c>
      <c r="C40" t="s">
        <v>7</v>
      </c>
      <c r="D40">
        <v>58201</v>
      </c>
      <c r="E40" t="s">
        <v>8</v>
      </c>
      <c r="F40">
        <v>23</v>
      </c>
      <c r="G40" t="s">
        <v>12</v>
      </c>
    </row>
    <row r="41" spans="1:7" x14ac:dyDescent="0.3">
      <c r="A41" t="s">
        <v>98</v>
      </c>
      <c r="B41" s="2">
        <v>45298</v>
      </c>
      <c r="C41" t="s">
        <v>10</v>
      </c>
      <c r="D41">
        <v>175572</v>
      </c>
      <c r="E41" t="s">
        <v>15</v>
      </c>
      <c r="F41">
        <v>6</v>
      </c>
      <c r="G41" t="s">
        <v>11</v>
      </c>
    </row>
    <row r="42" spans="1:7" x14ac:dyDescent="0.3">
      <c r="A42" t="s">
        <v>21</v>
      </c>
      <c r="B42" s="2">
        <v>45641</v>
      </c>
      <c r="C42" t="s">
        <v>10</v>
      </c>
      <c r="D42">
        <v>138207</v>
      </c>
      <c r="E42" t="s">
        <v>8</v>
      </c>
      <c r="F42">
        <v>8</v>
      </c>
      <c r="G42" t="s">
        <v>18</v>
      </c>
    </row>
    <row r="43" spans="1:7" x14ac:dyDescent="0.3">
      <c r="A43" t="s">
        <v>99</v>
      </c>
      <c r="B43" s="2">
        <v>45614</v>
      </c>
      <c r="C43" t="s">
        <v>14</v>
      </c>
      <c r="D43">
        <v>154821</v>
      </c>
      <c r="E43" t="s">
        <v>8</v>
      </c>
      <c r="F43">
        <v>2</v>
      </c>
      <c r="G43" t="s">
        <v>11</v>
      </c>
    </row>
    <row r="44" spans="1:7" x14ac:dyDescent="0.3">
      <c r="A44" t="s">
        <v>100</v>
      </c>
      <c r="B44" s="2">
        <v>45513</v>
      </c>
      <c r="C44" t="s">
        <v>14</v>
      </c>
      <c r="D44">
        <v>243538</v>
      </c>
      <c r="E44" t="s">
        <v>15</v>
      </c>
      <c r="F44">
        <v>2</v>
      </c>
      <c r="G44" t="s">
        <v>9</v>
      </c>
    </row>
    <row r="45" spans="1:7" x14ac:dyDescent="0.3">
      <c r="A45" t="s">
        <v>101</v>
      </c>
      <c r="B45" s="2">
        <v>45421</v>
      </c>
      <c r="C45" t="s">
        <v>10</v>
      </c>
      <c r="D45">
        <v>98155</v>
      </c>
      <c r="E45" t="s">
        <v>15</v>
      </c>
      <c r="F45">
        <v>14</v>
      </c>
      <c r="G45" t="s">
        <v>9</v>
      </c>
    </row>
    <row r="46" spans="1:7" x14ac:dyDescent="0.3">
      <c r="A46" t="s">
        <v>102</v>
      </c>
      <c r="B46" s="2">
        <v>45348</v>
      </c>
      <c r="C46" t="s">
        <v>7</v>
      </c>
      <c r="D46">
        <v>191526</v>
      </c>
      <c r="E46" t="s">
        <v>15</v>
      </c>
      <c r="F46">
        <v>5</v>
      </c>
      <c r="G46" t="s">
        <v>9</v>
      </c>
    </row>
    <row r="47" spans="1:7" x14ac:dyDescent="0.3">
      <c r="A47" t="s">
        <v>13</v>
      </c>
      <c r="B47" s="2">
        <v>45511</v>
      </c>
      <c r="C47" t="s">
        <v>7</v>
      </c>
      <c r="D47">
        <v>146652</v>
      </c>
      <c r="E47" t="s">
        <v>15</v>
      </c>
      <c r="F47">
        <v>20</v>
      </c>
      <c r="G47" t="s">
        <v>11</v>
      </c>
    </row>
    <row r="48" spans="1:7" x14ac:dyDescent="0.3">
      <c r="A48" t="s">
        <v>46</v>
      </c>
      <c r="B48" s="2">
        <v>45448</v>
      </c>
      <c r="C48" t="s">
        <v>10</v>
      </c>
      <c r="D48">
        <v>178958</v>
      </c>
      <c r="E48" t="s">
        <v>8</v>
      </c>
      <c r="F48">
        <v>0</v>
      </c>
      <c r="G48" t="s">
        <v>9</v>
      </c>
    </row>
    <row r="49" spans="1:7" x14ac:dyDescent="0.3">
      <c r="A49" t="s">
        <v>22</v>
      </c>
      <c r="B49" s="2">
        <v>45431</v>
      </c>
      <c r="C49" t="s">
        <v>10</v>
      </c>
      <c r="D49">
        <v>174675</v>
      </c>
      <c r="E49" t="s">
        <v>15</v>
      </c>
      <c r="F49">
        <v>16</v>
      </c>
      <c r="G49" t="s">
        <v>11</v>
      </c>
    </row>
    <row r="50" spans="1:7" x14ac:dyDescent="0.3">
      <c r="A50" t="s">
        <v>103</v>
      </c>
      <c r="B50" s="2">
        <v>45359</v>
      </c>
      <c r="C50" t="s">
        <v>7</v>
      </c>
      <c r="D50">
        <v>201304</v>
      </c>
      <c r="E50" t="s">
        <v>15</v>
      </c>
      <c r="F50">
        <v>4</v>
      </c>
      <c r="G50" t="s">
        <v>11</v>
      </c>
    </row>
    <row r="51" spans="1:7" x14ac:dyDescent="0.3">
      <c r="A51" t="s">
        <v>104</v>
      </c>
      <c r="B51" s="2">
        <v>45535</v>
      </c>
      <c r="C51" t="s">
        <v>10</v>
      </c>
      <c r="D51">
        <v>48345</v>
      </c>
      <c r="E51" t="s">
        <v>8</v>
      </c>
      <c r="F51">
        <v>22</v>
      </c>
      <c r="G51" t="s">
        <v>12</v>
      </c>
    </row>
    <row r="52" spans="1:7" x14ac:dyDescent="0.3">
      <c r="A52" t="s">
        <v>105</v>
      </c>
      <c r="B52" s="2">
        <v>45423</v>
      </c>
      <c r="C52" t="s">
        <v>10</v>
      </c>
      <c r="D52">
        <v>3549</v>
      </c>
      <c r="E52" t="s">
        <v>15</v>
      </c>
      <c r="F52">
        <v>14</v>
      </c>
      <c r="G52" t="s">
        <v>12</v>
      </c>
    </row>
    <row r="53" spans="1:7" x14ac:dyDescent="0.3">
      <c r="A53" t="s">
        <v>29</v>
      </c>
      <c r="B53" s="2">
        <v>45603</v>
      </c>
      <c r="C53" t="s">
        <v>14</v>
      </c>
      <c r="D53">
        <v>214546</v>
      </c>
      <c r="E53" t="s">
        <v>15</v>
      </c>
      <c r="F53">
        <v>2</v>
      </c>
      <c r="G53" t="s">
        <v>18</v>
      </c>
    </row>
    <row r="54" spans="1:7" x14ac:dyDescent="0.3">
      <c r="A54" t="s">
        <v>63</v>
      </c>
      <c r="B54" s="2">
        <v>45453</v>
      </c>
      <c r="C54" t="s">
        <v>14</v>
      </c>
      <c r="D54">
        <v>140843</v>
      </c>
      <c r="E54" t="s">
        <v>8</v>
      </c>
      <c r="F54">
        <v>21</v>
      </c>
      <c r="G54" t="s">
        <v>12</v>
      </c>
    </row>
    <row r="55" spans="1:7" x14ac:dyDescent="0.3">
      <c r="A55" t="s">
        <v>106</v>
      </c>
      <c r="B55" s="2">
        <v>45311</v>
      </c>
      <c r="C55" t="s">
        <v>7</v>
      </c>
      <c r="D55">
        <v>180718</v>
      </c>
      <c r="E55" t="s">
        <v>8</v>
      </c>
      <c r="F55">
        <v>1</v>
      </c>
      <c r="G55" t="s">
        <v>18</v>
      </c>
    </row>
    <row r="56" spans="1:7" x14ac:dyDescent="0.3">
      <c r="A56" t="s">
        <v>61</v>
      </c>
      <c r="B56" s="2">
        <v>45509</v>
      </c>
      <c r="C56" t="s">
        <v>10</v>
      </c>
      <c r="D56">
        <v>76066</v>
      </c>
      <c r="E56" t="s">
        <v>15</v>
      </c>
      <c r="F56">
        <v>10</v>
      </c>
      <c r="G56" t="s">
        <v>12</v>
      </c>
    </row>
    <row r="57" spans="1:7" x14ac:dyDescent="0.3">
      <c r="A57" t="s">
        <v>56</v>
      </c>
      <c r="B57" s="2">
        <v>45446</v>
      </c>
      <c r="C57" t="s">
        <v>7</v>
      </c>
      <c r="D57">
        <v>22514</v>
      </c>
      <c r="E57" t="s">
        <v>15</v>
      </c>
      <c r="F57">
        <v>1</v>
      </c>
      <c r="G57" t="s">
        <v>9</v>
      </c>
    </row>
    <row r="58" spans="1:7" x14ac:dyDescent="0.3">
      <c r="A58" t="s">
        <v>107</v>
      </c>
      <c r="B58" s="2">
        <v>45315</v>
      </c>
      <c r="C58" t="s">
        <v>14</v>
      </c>
      <c r="D58">
        <v>57564</v>
      </c>
      <c r="E58" t="s">
        <v>8</v>
      </c>
      <c r="F58">
        <v>3</v>
      </c>
      <c r="G58" t="s">
        <v>18</v>
      </c>
    </row>
    <row r="59" spans="1:7" x14ac:dyDescent="0.3">
      <c r="A59" t="s">
        <v>44</v>
      </c>
      <c r="B59" s="2">
        <v>45555</v>
      </c>
      <c r="C59" t="s">
        <v>10</v>
      </c>
      <c r="D59">
        <v>195037</v>
      </c>
      <c r="E59" t="s">
        <v>15</v>
      </c>
      <c r="F59">
        <v>16</v>
      </c>
      <c r="G59" t="s">
        <v>9</v>
      </c>
    </row>
    <row r="60" spans="1:7" x14ac:dyDescent="0.3">
      <c r="A60" t="s">
        <v>108</v>
      </c>
      <c r="B60" s="2">
        <v>45457</v>
      </c>
      <c r="C60" t="s">
        <v>7</v>
      </c>
      <c r="D60">
        <v>169411</v>
      </c>
      <c r="E60" t="s">
        <v>8</v>
      </c>
      <c r="F60">
        <v>6</v>
      </c>
      <c r="G60" t="s">
        <v>9</v>
      </c>
    </row>
    <row r="61" spans="1:7" x14ac:dyDescent="0.3">
      <c r="A61" t="s">
        <v>79</v>
      </c>
      <c r="B61" s="2">
        <v>45604</v>
      </c>
      <c r="C61" t="s">
        <v>7</v>
      </c>
      <c r="D61">
        <v>238992</v>
      </c>
      <c r="E61" t="s">
        <v>8</v>
      </c>
      <c r="F61">
        <v>13</v>
      </c>
      <c r="G61" t="s">
        <v>9</v>
      </c>
    </row>
    <row r="62" spans="1:7" x14ac:dyDescent="0.3">
      <c r="A62" t="s">
        <v>94</v>
      </c>
      <c r="B62" s="2">
        <v>45477</v>
      </c>
      <c r="C62" t="s">
        <v>7</v>
      </c>
      <c r="D62">
        <v>88</v>
      </c>
      <c r="E62" t="s">
        <v>15</v>
      </c>
      <c r="F62">
        <v>2</v>
      </c>
      <c r="G62" t="s">
        <v>11</v>
      </c>
    </row>
    <row r="63" spans="1:7" x14ac:dyDescent="0.3">
      <c r="A63" t="s">
        <v>109</v>
      </c>
      <c r="B63" s="2">
        <v>45649</v>
      </c>
      <c r="C63" t="s">
        <v>7</v>
      </c>
      <c r="D63">
        <v>221948</v>
      </c>
      <c r="E63" t="s">
        <v>15</v>
      </c>
      <c r="F63">
        <v>21</v>
      </c>
      <c r="G63" t="s">
        <v>11</v>
      </c>
    </row>
    <row r="64" spans="1:7" x14ac:dyDescent="0.3">
      <c r="A64" t="s">
        <v>110</v>
      </c>
      <c r="B64" s="2">
        <v>45446</v>
      </c>
      <c r="C64" t="s">
        <v>10</v>
      </c>
      <c r="D64">
        <v>167295</v>
      </c>
      <c r="E64" t="s">
        <v>8</v>
      </c>
      <c r="F64">
        <v>10</v>
      </c>
      <c r="G64" t="s">
        <v>9</v>
      </c>
    </row>
    <row r="65" spans="1:7" x14ac:dyDescent="0.3">
      <c r="A65" t="s">
        <v>52</v>
      </c>
      <c r="B65" s="2">
        <v>45463</v>
      </c>
      <c r="C65" t="s">
        <v>10</v>
      </c>
      <c r="D65">
        <v>108526</v>
      </c>
      <c r="E65" t="s">
        <v>8</v>
      </c>
      <c r="F65">
        <v>25</v>
      </c>
      <c r="G65" t="s">
        <v>11</v>
      </c>
    </row>
    <row r="66" spans="1:7" x14ac:dyDescent="0.3">
      <c r="A66" t="s">
        <v>38</v>
      </c>
      <c r="B66" s="2">
        <v>45526</v>
      </c>
      <c r="C66" t="s">
        <v>7</v>
      </c>
      <c r="D66">
        <v>234652</v>
      </c>
      <c r="E66" t="s">
        <v>8</v>
      </c>
      <c r="F66">
        <v>5</v>
      </c>
      <c r="G66" t="s">
        <v>12</v>
      </c>
    </row>
    <row r="67" spans="1:7" x14ac:dyDescent="0.3">
      <c r="A67" t="s">
        <v>95</v>
      </c>
      <c r="B67" s="2">
        <v>45531</v>
      </c>
      <c r="C67" t="s">
        <v>10</v>
      </c>
      <c r="D67">
        <v>111869</v>
      </c>
      <c r="E67" t="s">
        <v>15</v>
      </c>
      <c r="F67">
        <v>18</v>
      </c>
      <c r="G67" t="s">
        <v>12</v>
      </c>
    </row>
    <row r="68" spans="1:7" x14ac:dyDescent="0.3">
      <c r="A68" t="s">
        <v>30</v>
      </c>
      <c r="B68" s="2">
        <v>45486</v>
      </c>
      <c r="C68" t="s">
        <v>14</v>
      </c>
      <c r="D68">
        <v>161594</v>
      </c>
      <c r="E68" t="s">
        <v>15</v>
      </c>
      <c r="F68">
        <v>22</v>
      </c>
      <c r="G68" t="s">
        <v>18</v>
      </c>
    </row>
    <row r="69" spans="1:7" x14ac:dyDescent="0.3">
      <c r="A69" t="s">
        <v>73</v>
      </c>
      <c r="B69" s="2">
        <v>45372</v>
      </c>
      <c r="C69" t="s">
        <v>14</v>
      </c>
      <c r="D69">
        <v>81593</v>
      </c>
      <c r="E69" t="s">
        <v>8</v>
      </c>
      <c r="F69">
        <v>23</v>
      </c>
      <c r="G69" t="s">
        <v>11</v>
      </c>
    </row>
    <row r="70" spans="1:7" x14ac:dyDescent="0.3">
      <c r="A70" t="s">
        <v>34</v>
      </c>
      <c r="B70" s="2">
        <v>45530</v>
      </c>
      <c r="C70" t="s">
        <v>7</v>
      </c>
      <c r="D70">
        <v>76621</v>
      </c>
      <c r="E70" t="s">
        <v>8</v>
      </c>
      <c r="F70">
        <v>6</v>
      </c>
      <c r="G70" t="s">
        <v>18</v>
      </c>
    </row>
    <row r="71" spans="1:7" x14ac:dyDescent="0.3">
      <c r="A71" t="s">
        <v>17</v>
      </c>
      <c r="B71" s="2">
        <v>45639</v>
      </c>
      <c r="C71" t="s">
        <v>14</v>
      </c>
      <c r="D71">
        <v>95685</v>
      </c>
      <c r="E71" t="s">
        <v>8</v>
      </c>
      <c r="F71">
        <v>11</v>
      </c>
      <c r="G71" t="s">
        <v>18</v>
      </c>
    </row>
    <row r="72" spans="1:7" x14ac:dyDescent="0.3">
      <c r="A72" t="s">
        <v>111</v>
      </c>
      <c r="B72" s="2">
        <v>45642</v>
      </c>
      <c r="C72" t="s">
        <v>7</v>
      </c>
      <c r="D72">
        <v>87810</v>
      </c>
      <c r="E72" t="s">
        <v>15</v>
      </c>
      <c r="F72">
        <v>14</v>
      </c>
      <c r="G72" t="s">
        <v>11</v>
      </c>
    </row>
    <row r="73" spans="1:7" x14ac:dyDescent="0.3">
      <c r="A73" t="s">
        <v>74</v>
      </c>
      <c r="B73" s="2">
        <v>45362</v>
      </c>
      <c r="C73" t="s">
        <v>14</v>
      </c>
      <c r="D73">
        <v>113333</v>
      </c>
      <c r="E73" t="s">
        <v>8</v>
      </c>
      <c r="F73">
        <v>19</v>
      </c>
      <c r="G73" t="s">
        <v>11</v>
      </c>
    </row>
    <row r="74" spans="1:7" x14ac:dyDescent="0.3">
      <c r="A74" t="s">
        <v>23</v>
      </c>
      <c r="B74" s="2">
        <v>45390</v>
      </c>
      <c r="C74" t="s">
        <v>10</v>
      </c>
      <c r="D74">
        <v>67625</v>
      </c>
      <c r="E74" t="s">
        <v>8</v>
      </c>
      <c r="F74">
        <v>23</v>
      </c>
      <c r="G74" t="s">
        <v>9</v>
      </c>
    </row>
    <row r="75" spans="1:7" x14ac:dyDescent="0.3">
      <c r="A75" t="s">
        <v>112</v>
      </c>
      <c r="B75" s="2">
        <v>45623</v>
      </c>
      <c r="C75" t="s">
        <v>14</v>
      </c>
      <c r="D75">
        <v>217892</v>
      </c>
      <c r="E75" t="s">
        <v>15</v>
      </c>
      <c r="F75">
        <v>13</v>
      </c>
      <c r="G75" t="s">
        <v>11</v>
      </c>
    </row>
    <row r="76" spans="1:7" x14ac:dyDescent="0.3">
      <c r="A76" t="s">
        <v>113</v>
      </c>
      <c r="B76" s="2">
        <v>45380</v>
      </c>
      <c r="C76" t="s">
        <v>10</v>
      </c>
      <c r="D76">
        <v>133736</v>
      </c>
      <c r="E76" t="s">
        <v>8</v>
      </c>
      <c r="F76">
        <v>18</v>
      </c>
      <c r="G76" t="s">
        <v>11</v>
      </c>
    </row>
    <row r="77" spans="1:7" x14ac:dyDescent="0.3">
      <c r="A77" t="s">
        <v>114</v>
      </c>
      <c r="B77" s="2">
        <v>45499</v>
      </c>
      <c r="C77" t="s">
        <v>7</v>
      </c>
      <c r="D77">
        <v>8695</v>
      </c>
      <c r="E77" t="s">
        <v>8</v>
      </c>
      <c r="F77">
        <v>20</v>
      </c>
      <c r="G77" t="s">
        <v>9</v>
      </c>
    </row>
    <row r="78" spans="1:7" x14ac:dyDescent="0.3">
      <c r="A78" t="s">
        <v>115</v>
      </c>
      <c r="B78" s="2">
        <v>45336</v>
      </c>
      <c r="C78" t="s">
        <v>14</v>
      </c>
      <c r="D78">
        <v>205243</v>
      </c>
      <c r="E78" t="s">
        <v>8</v>
      </c>
      <c r="F78">
        <v>15</v>
      </c>
      <c r="G78" t="s">
        <v>11</v>
      </c>
    </row>
    <row r="79" spans="1:7" x14ac:dyDescent="0.3">
      <c r="A79" t="s">
        <v>116</v>
      </c>
      <c r="B79" s="2">
        <v>45385</v>
      </c>
      <c r="C79" t="s">
        <v>14</v>
      </c>
      <c r="D79">
        <v>141043</v>
      </c>
      <c r="E79" t="s">
        <v>8</v>
      </c>
      <c r="F79">
        <v>16</v>
      </c>
      <c r="G79" t="s">
        <v>11</v>
      </c>
    </row>
    <row r="80" spans="1:7" x14ac:dyDescent="0.3">
      <c r="A80" t="s">
        <v>76</v>
      </c>
      <c r="B80" s="2">
        <v>45422</v>
      </c>
      <c r="C80" t="s">
        <v>7</v>
      </c>
      <c r="D80">
        <v>239060</v>
      </c>
      <c r="E80" t="s">
        <v>15</v>
      </c>
      <c r="F80">
        <v>20</v>
      </c>
      <c r="G80" t="s">
        <v>9</v>
      </c>
    </row>
    <row r="81" spans="1:7" x14ac:dyDescent="0.3">
      <c r="A81" t="s">
        <v>117</v>
      </c>
      <c r="B81" s="2">
        <v>45455</v>
      </c>
      <c r="C81" t="s">
        <v>7</v>
      </c>
      <c r="D81">
        <v>38697</v>
      </c>
      <c r="E81" t="s">
        <v>8</v>
      </c>
      <c r="F81">
        <v>7</v>
      </c>
      <c r="G81" t="s">
        <v>12</v>
      </c>
    </row>
    <row r="82" spans="1:7" x14ac:dyDescent="0.3">
      <c r="A82" t="s">
        <v>118</v>
      </c>
      <c r="B82" s="2">
        <v>45547</v>
      </c>
      <c r="C82" t="s">
        <v>7</v>
      </c>
      <c r="D82">
        <v>131039</v>
      </c>
      <c r="E82" t="s">
        <v>8</v>
      </c>
      <c r="F82">
        <v>19</v>
      </c>
      <c r="G82" t="s">
        <v>18</v>
      </c>
    </row>
    <row r="83" spans="1:7" x14ac:dyDescent="0.3">
      <c r="A83" t="s">
        <v>119</v>
      </c>
      <c r="B83" s="2">
        <v>45566</v>
      </c>
      <c r="C83" t="s">
        <v>10</v>
      </c>
      <c r="D83">
        <v>163239</v>
      </c>
      <c r="E83" t="s">
        <v>15</v>
      </c>
      <c r="F83">
        <v>6</v>
      </c>
      <c r="G83" t="s">
        <v>18</v>
      </c>
    </row>
    <row r="84" spans="1:7" x14ac:dyDescent="0.3">
      <c r="A84" t="s">
        <v>66</v>
      </c>
      <c r="B84" s="2">
        <v>45503</v>
      </c>
      <c r="C84" t="s">
        <v>7</v>
      </c>
      <c r="D84">
        <v>172564</v>
      </c>
      <c r="E84" t="s">
        <v>15</v>
      </c>
      <c r="F84">
        <v>21</v>
      </c>
      <c r="G84" t="s">
        <v>12</v>
      </c>
    </row>
    <row r="85" spans="1:7" x14ac:dyDescent="0.3">
      <c r="A85" t="s">
        <v>37</v>
      </c>
      <c r="B85" s="2">
        <v>45422</v>
      </c>
      <c r="C85" t="s">
        <v>10</v>
      </c>
      <c r="D85">
        <v>199686</v>
      </c>
      <c r="E85" t="s">
        <v>8</v>
      </c>
      <c r="F85">
        <v>10</v>
      </c>
      <c r="G85" t="s">
        <v>18</v>
      </c>
    </row>
    <row r="86" spans="1:7" x14ac:dyDescent="0.3">
      <c r="A86" t="s">
        <v>120</v>
      </c>
      <c r="B86" s="2">
        <v>45393</v>
      </c>
      <c r="C86" t="s">
        <v>14</v>
      </c>
      <c r="D86">
        <v>140461</v>
      </c>
      <c r="E86" t="s">
        <v>15</v>
      </c>
      <c r="F86">
        <v>8</v>
      </c>
      <c r="G86" t="s">
        <v>11</v>
      </c>
    </row>
    <row r="87" spans="1:7" x14ac:dyDescent="0.3">
      <c r="A87" t="s">
        <v>121</v>
      </c>
      <c r="B87" s="2">
        <v>45654</v>
      </c>
      <c r="C87" t="s">
        <v>7</v>
      </c>
      <c r="D87">
        <v>79441</v>
      </c>
      <c r="E87" t="s">
        <v>15</v>
      </c>
      <c r="F87">
        <v>9</v>
      </c>
      <c r="G87" t="s">
        <v>12</v>
      </c>
    </row>
    <row r="88" spans="1:7" x14ac:dyDescent="0.3">
      <c r="A88" t="s">
        <v>122</v>
      </c>
      <c r="B88" s="2">
        <v>45501</v>
      </c>
      <c r="C88" t="s">
        <v>10</v>
      </c>
      <c r="D88">
        <v>173041</v>
      </c>
      <c r="E88" t="s">
        <v>8</v>
      </c>
      <c r="F88">
        <v>22</v>
      </c>
      <c r="G88" t="s">
        <v>9</v>
      </c>
    </row>
    <row r="89" spans="1:7" x14ac:dyDescent="0.3">
      <c r="A89" t="s">
        <v>55</v>
      </c>
      <c r="B89" s="2">
        <v>45635</v>
      </c>
      <c r="C89" t="s">
        <v>7</v>
      </c>
      <c r="D89">
        <v>42060</v>
      </c>
      <c r="E89" t="s">
        <v>15</v>
      </c>
      <c r="F89">
        <v>20</v>
      </c>
      <c r="G89" t="s">
        <v>12</v>
      </c>
    </row>
    <row r="90" spans="1:7" x14ac:dyDescent="0.3">
      <c r="A90" t="s">
        <v>123</v>
      </c>
      <c r="B90" s="2">
        <v>45654</v>
      </c>
      <c r="C90" t="s">
        <v>10</v>
      </c>
      <c r="D90">
        <v>146052</v>
      </c>
      <c r="E90" t="s">
        <v>8</v>
      </c>
      <c r="F90">
        <v>20</v>
      </c>
      <c r="G90" t="s">
        <v>11</v>
      </c>
    </row>
    <row r="91" spans="1:7" x14ac:dyDescent="0.3">
      <c r="A91" t="s">
        <v>124</v>
      </c>
      <c r="B91" s="2">
        <v>45479</v>
      </c>
      <c r="C91" t="s">
        <v>10</v>
      </c>
      <c r="D91">
        <v>18079</v>
      </c>
      <c r="E91" t="s">
        <v>8</v>
      </c>
      <c r="F91">
        <v>21</v>
      </c>
      <c r="G91" t="s">
        <v>9</v>
      </c>
    </row>
    <row r="92" spans="1:7" x14ac:dyDescent="0.3">
      <c r="A92" t="s">
        <v>125</v>
      </c>
      <c r="B92" s="2">
        <v>45460</v>
      </c>
      <c r="C92" t="s">
        <v>14</v>
      </c>
      <c r="D92">
        <v>112565</v>
      </c>
      <c r="E92" t="s">
        <v>15</v>
      </c>
      <c r="F92">
        <v>1</v>
      </c>
      <c r="G92" t="s">
        <v>12</v>
      </c>
    </row>
    <row r="93" spans="1:7" x14ac:dyDescent="0.3">
      <c r="A93" t="s">
        <v>126</v>
      </c>
      <c r="B93" s="2">
        <v>45362</v>
      </c>
      <c r="C93" t="s">
        <v>10</v>
      </c>
      <c r="D93">
        <v>225714</v>
      </c>
      <c r="E93" t="s">
        <v>15</v>
      </c>
      <c r="F93">
        <v>9</v>
      </c>
      <c r="G93" t="s">
        <v>12</v>
      </c>
    </row>
    <row r="94" spans="1:7" x14ac:dyDescent="0.3">
      <c r="A94" t="s">
        <v>32</v>
      </c>
      <c r="B94" s="2">
        <v>45628</v>
      </c>
      <c r="C94" t="s">
        <v>10</v>
      </c>
      <c r="D94">
        <v>81321</v>
      </c>
      <c r="E94" t="s">
        <v>8</v>
      </c>
      <c r="F94">
        <v>16</v>
      </c>
      <c r="G94" t="s">
        <v>18</v>
      </c>
    </row>
    <row r="95" spans="1:7" x14ac:dyDescent="0.3">
      <c r="A95" t="s">
        <v>39</v>
      </c>
      <c r="B95" s="2">
        <v>45362</v>
      </c>
      <c r="C95" t="s">
        <v>14</v>
      </c>
      <c r="D95">
        <v>168054</v>
      </c>
      <c r="E95" t="s">
        <v>15</v>
      </c>
      <c r="F95">
        <v>14</v>
      </c>
      <c r="G95" t="s">
        <v>9</v>
      </c>
    </row>
    <row r="96" spans="1:7" x14ac:dyDescent="0.3">
      <c r="A96" t="s">
        <v>64</v>
      </c>
      <c r="B96" s="2">
        <v>45492</v>
      </c>
      <c r="C96" t="s">
        <v>10</v>
      </c>
      <c r="D96">
        <v>117544</v>
      </c>
      <c r="E96" t="s">
        <v>15</v>
      </c>
      <c r="F96">
        <v>23</v>
      </c>
      <c r="G96" t="s">
        <v>18</v>
      </c>
    </row>
    <row r="97" spans="1:7" x14ac:dyDescent="0.3">
      <c r="A97" t="s">
        <v>127</v>
      </c>
      <c r="B97" s="2">
        <v>45429</v>
      </c>
      <c r="C97" t="s">
        <v>7</v>
      </c>
      <c r="D97">
        <v>155192</v>
      </c>
      <c r="E97" t="s">
        <v>8</v>
      </c>
      <c r="F97">
        <v>1</v>
      </c>
      <c r="G97" t="s">
        <v>9</v>
      </c>
    </row>
    <row r="98" spans="1:7" x14ac:dyDescent="0.3">
      <c r="A98" t="s">
        <v>128</v>
      </c>
      <c r="B98" s="2">
        <v>45650</v>
      </c>
      <c r="C98" t="s">
        <v>10</v>
      </c>
      <c r="D98">
        <v>70203</v>
      </c>
      <c r="E98" t="s">
        <v>8</v>
      </c>
      <c r="F98">
        <v>25</v>
      </c>
      <c r="G98" t="s">
        <v>12</v>
      </c>
    </row>
    <row r="99" spans="1:7" x14ac:dyDescent="0.3">
      <c r="A99" t="s">
        <v>71</v>
      </c>
      <c r="B99" s="2">
        <v>45333</v>
      </c>
      <c r="C99" t="s">
        <v>10</v>
      </c>
      <c r="D99">
        <v>33500</v>
      </c>
      <c r="E99" t="s">
        <v>8</v>
      </c>
      <c r="F99">
        <v>13</v>
      </c>
      <c r="G99" t="s">
        <v>12</v>
      </c>
    </row>
    <row r="100" spans="1:7" x14ac:dyDescent="0.3">
      <c r="A100" t="s">
        <v>43</v>
      </c>
      <c r="B100" s="2">
        <v>45435</v>
      </c>
      <c r="C100" t="s">
        <v>14</v>
      </c>
      <c r="D100">
        <v>198135</v>
      </c>
      <c r="E100" t="s">
        <v>15</v>
      </c>
      <c r="F100">
        <v>9</v>
      </c>
      <c r="G100" t="s">
        <v>11</v>
      </c>
    </row>
    <row r="101" spans="1:7" x14ac:dyDescent="0.3">
      <c r="A101" t="s">
        <v>62</v>
      </c>
      <c r="B101" s="2">
        <v>45338</v>
      </c>
      <c r="C101" t="s">
        <v>10</v>
      </c>
      <c r="D101">
        <v>123009</v>
      </c>
      <c r="E101" t="s">
        <v>8</v>
      </c>
      <c r="F101">
        <v>13</v>
      </c>
      <c r="G101" t="s">
        <v>12</v>
      </c>
    </row>
    <row r="102" spans="1:7" x14ac:dyDescent="0.3">
      <c r="A102" t="s">
        <v>123</v>
      </c>
      <c r="B102" s="2">
        <v>45578</v>
      </c>
      <c r="C102" t="s">
        <v>10</v>
      </c>
      <c r="D102">
        <v>197469</v>
      </c>
      <c r="E102" t="s">
        <v>15</v>
      </c>
      <c r="F102">
        <v>5</v>
      </c>
      <c r="G102" t="s">
        <v>18</v>
      </c>
    </row>
    <row r="103" spans="1:7" x14ac:dyDescent="0.3">
      <c r="A103" t="s">
        <v>16</v>
      </c>
      <c r="B103" s="2">
        <v>45496</v>
      </c>
      <c r="C103" t="s">
        <v>10</v>
      </c>
      <c r="D103">
        <v>86016</v>
      </c>
      <c r="E103" t="s">
        <v>15</v>
      </c>
      <c r="F103">
        <v>17</v>
      </c>
      <c r="G103" t="s">
        <v>12</v>
      </c>
    </row>
    <row r="104" spans="1:7" x14ac:dyDescent="0.3">
      <c r="A104" t="s">
        <v>129</v>
      </c>
      <c r="B104" s="2">
        <v>45376</v>
      </c>
      <c r="C104" t="s">
        <v>10</v>
      </c>
      <c r="D104">
        <v>112844</v>
      </c>
      <c r="E104" t="s">
        <v>8</v>
      </c>
      <c r="F104">
        <v>6</v>
      </c>
      <c r="G104" t="s">
        <v>18</v>
      </c>
    </row>
    <row r="105" spans="1:7" x14ac:dyDescent="0.3">
      <c r="A105" t="s">
        <v>130</v>
      </c>
      <c r="B105" s="2">
        <v>45355</v>
      </c>
      <c r="C105" t="s">
        <v>14</v>
      </c>
      <c r="D105">
        <v>147002</v>
      </c>
      <c r="E105" t="s">
        <v>15</v>
      </c>
      <c r="F105">
        <v>7</v>
      </c>
      <c r="G105" t="s">
        <v>11</v>
      </c>
    </row>
    <row r="106" spans="1:7" x14ac:dyDescent="0.3">
      <c r="A106" t="s">
        <v>131</v>
      </c>
      <c r="B106" s="2">
        <v>45558</v>
      </c>
      <c r="C106" t="s">
        <v>10</v>
      </c>
      <c r="D106">
        <v>67604</v>
      </c>
      <c r="E106" t="s">
        <v>8</v>
      </c>
      <c r="F106">
        <v>14</v>
      </c>
      <c r="G106" t="s">
        <v>12</v>
      </c>
    </row>
    <row r="107" spans="1:7" x14ac:dyDescent="0.3">
      <c r="A107" t="s">
        <v>132</v>
      </c>
      <c r="B107" s="2">
        <v>45560</v>
      </c>
      <c r="C107" t="s">
        <v>14</v>
      </c>
      <c r="D107">
        <v>132293</v>
      </c>
      <c r="E107" t="s">
        <v>15</v>
      </c>
      <c r="F107">
        <v>25</v>
      </c>
      <c r="G107" t="s">
        <v>9</v>
      </c>
    </row>
    <row r="108" spans="1:7" x14ac:dyDescent="0.3">
      <c r="A108" t="s">
        <v>94</v>
      </c>
      <c r="B108" s="2">
        <v>45370</v>
      </c>
      <c r="C108" t="s">
        <v>14</v>
      </c>
      <c r="D108">
        <v>109474</v>
      </c>
      <c r="E108" t="s">
        <v>8</v>
      </c>
      <c r="F108">
        <v>13</v>
      </c>
      <c r="G108" t="s">
        <v>18</v>
      </c>
    </row>
    <row r="109" spans="1:7" x14ac:dyDescent="0.3">
      <c r="A109" t="s">
        <v>133</v>
      </c>
      <c r="B109" s="2">
        <v>45339</v>
      </c>
      <c r="C109" t="s">
        <v>14</v>
      </c>
      <c r="D109">
        <v>227892</v>
      </c>
      <c r="E109" t="s">
        <v>8</v>
      </c>
      <c r="F109">
        <v>4</v>
      </c>
      <c r="G109" t="s">
        <v>18</v>
      </c>
    </row>
    <row r="110" spans="1:7" x14ac:dyDescent="0.3">
      <c r="A110" t="s">
        <v>134</v>
      </c>
      <c r="B110" s="2">
        <v>45465</v>
      </c>
      <c r="C110" t="s">
        <v>7</v>
      </c>
      <c r="D110">
        <v>226326</v>
      </c>
      <c r="E110" t="s">
        <v>8</v>
      </c>
      <c r="F110">
        <v>19</v>
      </c>
      <c r="G110" t="s">
        <v>9</v>
      </c>
    </row>
    <row r="111" spans="1:7" x14ac:dyDescent="0.3">
      <c r="A111" t="s">
        <v>135</v>
      </c>
      <c r="B111" s="2">
        <v>45532</v>
      </c>
      <c r="C111" t="s">
        <v>7</v>
      </c>
      <c r="D111">
        <v>182654</v>
      </c>
      <c r="E111" t="s">
        <v>15</v>
      </c>
      <c r="F111">
        <v>9</v>
      </c>
      <c r="G111" t="s">
        <v>12</v>
      </c>
    </row>
    <row r="112" spans="1:7" x14ac:dyDescent="0.3">
      <c r="A112" t="s">
        <v>136</v>
      </c>
      <c r="B112" s="2">
        <v>45497</v>
      </c>
      <c r="C112" t="s">
        <v>14</v>
      </c>
      <c r="D112">
        <v>166787</v>
      </c>
      <c r="E112" t="s">
        <v>8</v>
      </c>
      <c r="F112">
        <v>18</v>
      </c>
      <c r="G112" t="s">
        <v>12</v>
      </c>
    </row>
    <row r="113" spans="1:7" x14ac:dyDescent="0.3">
      <c r="A113" t="s">
        <v>43</v>
      </c>
      <c r="B113" s="2">
        <v>45586</v>
      </c>
      <c r="C113" t="s">
        <v>7</v>
      </c>
      <c r="D113">
        <v>152455</v>
      </c>
      <c r="E113" t="s">
        <v>15</v>
      </c>
      <c r="F113">
        <v>12</v>
      </c>
      <c r="G113" t="s">
        <v>18</v>
      </c>
    </row>
    <row r="114" spans="1:7" x14ac:dyDescent="0.3">
      <c r="A114" t="s">
        <v>137</v>
      </c>
      <c r="B114" s="2">
        <v>45358</v>
      </c>
      <c r="C114" t="s">
        <v>7</v>
      </c>
      <c r="D114">
        <v>111804</v>
      </c>
      <c r="E114" t="s">
        <v>15</v>
      </c>
      <c r="F114">
        <v>21</v>
      </c>
      <c r="G114" t="s">
        <v>12</v>
      </c>
    </row>
    <row r="115" spans="1:7" x14ac:dyDescent="0.3">
      <c r="A115" t="s">
        <v>138</v>
      </c>
      <c r="B115" s="2">
        <v>45543</v>
      </c>
      <c r="C115" t="s">
        <v>7</v>
      </c>
      <c r="D115">
        <v>207533</v>
      </c>
      <c r="E115" t="s">
        <v>15</v>
      </c>
      <c r="F115">
        <v>9</v>
      </c>
      <c r="G115" t="s">
        <v>11</v>
      </c>
    </row>
    <row r="116" spans="1:7" x14ac:dyDescent="0.3">
      <c r="A116" t="s">
        <v>139</v>
      </c>
      <c r="B116" s="2">
        <v>45366</v>
      </c>
      <c r="C116" t="s">
        <v>14</v>
      </c>
      <c r="D116">
        <v>34116</v>
      </c>
      <c r="E116" t="s">
        <v>8</v>
      </c>
      <c r="F116">
        <v>24</v>
      </c>
      <c r="G116" t="s">
        <v>9</v>
      </c>
    </row>
    <row r="117" spans="1:7" x14ac:dyDescent="0.3">
      <c r="A117" t="s">
        <v>140</v>
      </c>
      <c r="B117" s="2">
        <v>45539</v>
      </c>
      <c r="C117" t="s">
        <v>14</v>
      </c>
      <c r="D117">
        <v>97484</v>
      </c>
      <c r="E117" t="s">
        <v>8</v>
      </c>
      <c r="F117">
        <v>19</v>
      </c>
      <c r="G117" t="s">
        <v>18</v>
      </c>
    </row>
    <row r="118" spans="1:7" x14ac:dyDescent="0.3">
      <c r="A118" t="s">
        <v>46</v>
      </c>
      <c r="B118" s="2">
        <v>45580</v>
      </c>
      <c r="C118" t="s">
        <v>14</v>
      </c>
      <c r="D118">
        <v>6804</v>
      </c>
      <c r="E118" t="s">
        <v>8</v>
      </c>
      <c r="F118">
        <v>18</v>
      </c>
      <c r="G118" t="s">
        <v>9</v>
      </c>
    </row>
    <row r="119" spans="1:7" x14ac:dyDescent="0.3">
      <c r="A119" t="s">
        <v>141</v>
      </c>
      <c r="B119" s="2">
        <v>45458</v>
      </c>
      <c r="C119" t="s">
        <v>14</v>
      </c>
      <c r="D119">
        <v>138131</v>
      </c>
      <c r="E119" t="s">
        <v>8</v>
      </c>
      <c r="F119">
        <v>2</v>
      </c>
      <c r="G119" t="s">
        <v>11</v>
      </c>
    </row>
    <row r="120" spans="1:7" x14ac:dyDescent="0.3">
      <c r="A120" t="s">
        <v>82</v>
      </c>
      <c r="B120" s="2">
        <v>45450</v>
      </c>
      <c r="C120" t="s">
        <v>10</v>
      </c>
      <c r="D120">
        <v>153408</v>
      </c>
      <c r="E120" t="s">
        <v>8</v>
      </c>
      <c r="F120">
        <v>3</v>
      </c>
      <c r="G120" t="s">
        <v>12</v>
      </c>
    </row>
    <row r="121" spans="1:7" x14ac:dyDescent="0.3">
      <c r="A121" t="s">
        <v>142</v>
      </c>
      <c r="B121" s="2">
        <v>45594</v>
      </c>
      <c r="C121" t="s">
        <v>7</v>
      </c>
      <c r="D121">
        <v>146792</v>
      </c>
      <c r="E121" t="s">
        <v>15</v>
      </c>
      <c r="F121">
        <v>1</v>
      </c>
      <c r="G121" t="s">
        <v>11</v>
      </c>
    </row>
    <row r="122" spans="1:7" x14ac:dyDescent="0.3">
      <c r="A122" t="s">
        <v>49</v>
      </c>
      <c r="B122" s="2">
        <v>45529</v>
      </c>
      <c r="C122" t="s">
        <v>7</v>
      </c>
      <c r="D122">
        <v>224936</v>
      </c>
      <c r="E122" t="s">
        <v>8</v>
      </c>
      <c r="F122">
        <v>20</v>
      </c>
      <c r="G122" t="s">
        <v>12</v>
      </c>
    </row>
    <row r="123" spans="1:7" x14ac:dyDescent="0.3">
      <c r="A123" t="s">
        <v>115</v>
      </c>
      <c r="B123" s="2">
        <v>45653</v>
      </c>
      <c r="C123" t="s">
        <v>10</v>
      </c>
      <c r="D123">
        <v>199265</v>
      </c>
      <c r="E123" t="s">
        <v>15</v>
      </c>
      <c r="F123">
        <v>12</v>
      </c>
      <c r="G123" t="s">
        <v>11</v>
      </c>
    </row>
    <row r="124" spans="1:7" x14ac:dyDescent="0.3">
      <c r="A124" t="s">
        <v>143</v>
      </c>
      <c r="B124" s="2">
        <v>45417</v>
      </c>
      <c r="C124" t="s">
        <v>10</v>
      </c>
      <c r="D124">
        <v>192191</v>
      </c>
      <c r="E124" t="s">
        <v>8</v>
      </c>
      <c r="F124">
        <v>8</v>
      </c>
      <c r="G124" t="s">
        <v>11</v>
      </c>
    </row>
    <row r="125" spans="1:7" x14ac:dyDescent="0.3">
      <c r="A125" t="s">
        <v>113</v>
      </c>
      <c r="B125" s="2">
        <v>45554</v>
      </c>
      <c r="C125" t="s">
        <v>14</v>
      </c>
      <c r="D125">
        <v>84502</v>
      </c>
      <c r="E125" t="s">
        <v>15</v>
      </c>
      <c r="F125">
        <v>13</v>
      </c>
      <c r="G125" t="s">
        <v>11</v>
      </c>
    </row>
    <row r="126" spans="1:7" x14ac:dyDescent="0.3">
      <c r="A126" t="s">
        <v>60</v>
      </c>
      <c r="B126" s="2">
        <v>45481</v>
      </c>
      <c r="C126" t="s">
        <v>7</v>
      </c>
      <c r="D126">
        <v>103844</v>
      </c>
      <c r="E126" t="s">
        <v>8</v>
      </c>
      <c r="F126">
        <v>0</v>
      </c>
      <c r="G126" t="s">
        <v>18</v>
      </c>
    </row>
    <row r="127" spans="1:7" x14ac:dyDescent="0.3">
      <c r="A127" t="s">
        <v>144</v>
      </c>
      <c r="B127" s="2">
        <v>45638</v>
      </c>
      <c r="C127" t="s">
        <v>10</v>
      </c>
      <c r="D127">
        <v>47022</v>
      </c>
      <c r="E127" t="s">
        <v>15</v>
      </c>
      <c r="F127">
        <v>6</v>
      </c>
      <c r="G127" t="s">
        <v>12</v>
      </c>
    </row>
    <row r="128" spans="1:7" x14ac:dyDescent="0.3">
      <c r="A128" t="s">
        <v>41</v>
      </c>
      <c r="B128" s="2">
        <v>45494</v>
      </c>
      <c r="C128" t="s">
        <v>10</v>
      </c>
      <c r="D128">
        <v>193318</v>
      </c>
      <c r="E128" t="s">
        <v>15</v>
      </c>
      <c r="F128">
        <v>1</v>
      </c>
      <c r="G128" t="s">
        <v>12</v>
      </c>
    </row>
    <row r="129" spans="1:7" x14ac:dyDescent="0.3">
      <c r="A129" t="s">
        <v>145</v>
      </c>
      <c r="B129" s="2">
        <v>45586</v>
      </c>
      <c r="C129" t="s">
        <v>10</v>
      </c>
      <c r="D129">
        <v>88576</v>
      </c>
      <c r="E129" t="s">
        <v>15</v>
      </c>
      <c r="F129">
        <v>23</v>
      </c>
      <c r="G129" t="s">
        <v>18</v>
      </c>
    </row>
    <row r="130" spans="1:7" x14ac:dyDescent="0.3">
      <c r="A130" t="s">
        <v>88</v>
      </c>
      <c r="B130" s="2">
        <v>45435</v>
      </c>
      <c r="C130" t="s">
        <v>14</v>
      </c>
      <c r="D130">
        <v>115808</v>
      </c>
      <c r="E130" t="s">
        <v>8</v>
      </c>
      <c r="F130">
        <v>2</v>
      </c>
      <c r="G130" t="s">
        <v>9</v>
      </c>
    </row>
    <row r="131" spans="1:7" x14ac:dyDescent="0.3">
      <c r="A131" t="s">
        <v>22</v>
      </c>
      <c r="B131" s="2">
        <v>45622</v>
      </c>
      <c r="C131" t="s">
        <v>10</v>
      </c>
      <c r="D131">
        <v>230039</v>
      </c>
      <c r="E131" t="s">
        <v>15</v>
      </c>
      <c r="F131">
        <v>24</v>
      </c>
      <c r="G131" t="s">
        <v>18</v>
      </c>
    </row>
    <row r="132" spans="1:7" x14ac:dyDescent="0.3">
      <c r="A132" t="s">
        <v>132</v>
      </c>
      <c r="B132" s="2">
        <v>45335</v>
      </c>
      <c r="C132" t="s">
        <v>10</v>
      </c>
      <c r="D132">
        <v>52713</v>
      </c>
      <c r="E132" t="s">
        <v>15</v>
      </c>
      <c r="F132">
        <v>11</v>
      </c>
      <c r="G132" t="s">
        <v>9</v>
      </c>
    </row>
    <row r="133" spans="1:7" x14ac:dyDescent="0.3">
      <c r="A133" t="s">
        <v>117</v>
      </c>
      <c r="B133" s="2">
        <v>45634</v>
      </c>
      <c r="C133" t="s">
        <v>14</v>
      </c>
      <c r="D133">
        <v>3785</v>
      </c>
      <c r="E133" t="s">
        <v>8</v>
      </c>
      <c r="F133">
        <v>20</v>
      </c>
      <c r="G133" t="s">
        <v>18</v>
      </c>
    </row>
    <row r="134" spans="1:7" x14ac:dyDescent="0.3">
      <c r="A134" t="s">
        <v>146</v>
      </c>
      <c r="B134" s="2">
        <v>45559</v>
      </c>
      <c r="C134" t="s">
        <v>10</v>
      </c>
      <c r="D134">
        <v>1090</v>
      </c>
      <c r="E134" t="s">
        <v>15</v>
      </c>
      <c r="F134">
        <v>11</v>
      </c>
      <c r="G134" t="s">
        <v>18</v>
      </c>
    </row>
    <row r="135" spans="1:7" x14ac:dyDescent="0.3">
      <c r="A135" t="s">
        <v>129</v>
      </c>
      <c r="B135" s="2">
        <v>45623</v>
      </c>
      <c r="C135" t="s">
        <v>7</v>
      </c>
      <c r="D135">
        <v>179316</v>
      </c>
      <c r="E135" t="s">
        <v>15</v>
      </c>
      <c r="F135">
        <v>19</v>
      </c>
      <c r="G135" t="s">
        <v>9</v>
      </c>
    </row>
    <row r="136" spans="1:7" x14ac:dyDescent="0.3">
      <c r="A136" t="s">
        <v>72</v>
      </c>
      <c r="B136" s="2">
        <v>45324</v>
      </c>
      <c r="C136" t="s">
        <v>10</v>
      </c>
      <c r="D136">
        <v>40626</v>
      </c>
      <c r="E136" t="s">
        <v>15</v>
      </c>
      <c r="F136">
        <v>20</v>
      </c>
      <c r="G136" t="s">
        <v>12</v>
      </c>
    </row>
    <row r="137" spans="1:7" x14ac:dyDescent="0.3">
      <c r="A137" t="s">
        <v>35</v>
      </c>
      <c r="B137" s="2">
        <v>45522</v>
      </c>
      <c r="C137" t="s">
        <v>7</v>
      </c>
      <c r="D137">
        <v>7768</v>
      </c>
      <c r="E137" t="s">
        <v>8</v>
      </c>
      <c r="F137">
        <v>20</v>
      </c>
      <c r="G137" t="s">
        <v>11</v>
      </c>
    </row>
    <row r="138" spans="1:7" x14ac:dyDescent="0.3">
      <c r="A138" t="s">
        <v>20</v>
      </c>
      <c r="B138" s="2">
        <v>45307</v>
      </c>
      <c r="C138" t="s">
        <v>10</v>
      </c>
      <c r="D138">
        <v>96666</v>
      </c>
      <c r="E138" t="s">
        <v>15</v>
      </c>
      <c r="F138">
        <v>1</v>
      </c>
      <c r="G138" t="s">
        <v>11</v>
      </c>
    </row>
    <row r="139" spans="1:7" x14ac:dyDescent="0.3">
      <c r="A139" t="s">
        <v>47</v>
      </c>
      <c r="B139" s="2">
        <v>45538</v>
      </c>
      <c r="C139" t="s">
        <v>7</v>
      </c>
      <c r="D139">
        <v>149233</v>
      </c>
      <c r="E139" t="s">
        <v>15</v>
      </c>
      <c r="F139">
        <v>21</v>
      </c>
      <c r="G139" t="s">
        <v>12</v>
      </c>
    </row>
    <row r="140" spans="1:7" x14ac:dyDescent="0.3">
      <c r="A140" t="s">
        <v>131</v>
      </c>
      <c r="B140" s="2">
        <v>45415</v>
      </c>
      <c r="C140" t="s">
        <v>10</v>
      </c>
      <c r="D140">
        <v>25686</v>
      </c>
      <c r="E140" t="s">
        <v>15</v>
      </c>
      <c r="F140">
        <v>16</v>
      </c>
      <c r="G140" t="s">
        <v>11</v>
      </c>
    </row>
    <row r="141" spans="1:7" x14ac:dyDescent="0.3">
      <c r="A141" t="s">
        <v>147</v>
      </c>
      <c r="B141" s="2">
        <v>45379</v>
      </c>
      <c r="C141" t="s">
        <v>10</v>
      </c>
      <c r="D141">
        <v>246477</v>
      </c>
      <c r="E141" t="s">
        <v>15</v>
      </c>
      <c r="F141">
        <v>13</v>
      </c>
      <c r="G141" t="s">
        <v>9</v>
      </c>
    </row>
    <row r="142" spans="1:7" x14ac:dyDescent="0.3">
      <c r="A142" t="s">
        <v>148</v>
      </c>
      <c r="B142" s="2">
        <v>45535</v>
      </c>
      <c r="C142" t="s">
        <v>14</v>
      </c>
      <c r="D142">
        <v>28629</v>
      </c>
      <c r="E142" t="s">
        <v>15</v>
      </c>
      <c r="F142">
        <v>19</v>
      </c>
      <c r="G142" t="s">
        <v>12</v>
      </c>
    </row>
    <row r="143" spans="1:7" x14ac:dyDescent="0.3">
      <c r="A143" t="s">
        <v>149</v>
      </c>
      <c r="B143" s="2">
        <v>45505</v>
      </c>
      <c r="C143" t="s">
        <v>14</v>
      </c>
      <c r="D143">
        <v>56708</v>
      </c>
      <c r="E143" t="s">
        <v>15</v>
      </c>
      <c r="F143">
        <v>13</v>
      </c>
      <c r="G143" t="s">
        <v>18</v>
      </c>
    </row>
    <row r="144" spans="1:7" x14ac:dyDescent="0.3">
      <c r="A144" t="s">
        <v>123</v>
      </c>
      <c r="B144" s="2">
        <v>45519</v>
      </c>
      <c r="C144" t="s">
        <v>7</v>
      </c>
      <c r="D144">
        <v>39144</v>
      </c>
      <c r="E144" t="s">
        <v>8</v>
      </c>
      <c r="F144">
        <v>12</v>
      </c>
      <c r="G144" t="s">
        <v>11</v>
      </c>
    </row>
    <row r="145" spans="1:7" x14ac:dyDescent="0.3">
      <c r="A145" t="s">
        <v>76</v>
      </c>
      <c r="B145" s="2">
        <v>45300</v>
      </c>
      <c r="C145" t="s">
        <v>10</v>
      </c>
      <c r="D145">
        <v>238068</v>
      </c>
      <c r="E145" t="s">
        <v>15</v>
      </c>
      <c r="F145">
        <v>24</v>
      </c>
      <c r="G145" t="s">
        <v>11</v>
      </c>
    </row>
    <row r="146" spans="1:7" x14ac:dyDescent="0.3">
      <c r="A146" t="s">
        <v>147</v>
      </c>
      <c r="B146" s="2">
        <v>45459</v>
      </c>
      <c r="C146" t="s">
        <v>7</v>
      </c>
      <c r="D146">
        <v>112213</v>
      </c>
      <c r="E146" t="s">
        <v>8</v>
      </c>
      <c r="F146">
        <v>2</v>
      </c>
      <c r="G146" t="s">
        <v>18</v>
      </c>
    </row>
    <row r="147" spans="1:7" x14ac:dyDescent="0.3">
      <c r="A147" t="s">
        <v>30</v>
      </c>
      <c r="B147" s="2">
        <v>45579</v>
      </c>
      <c r="C147" t="s">
        <v>10</v>
      </c>
      <c r="D147">
        <v>127499</v>
      </c>
      <c r="E147" t="s">
        <v>15</v>
      </c>
      <c r="F147">
        <v>8</v>
      </c>
      <c r="G147" t="s">
        <v>18</v>
      </c>
    </row>
    <row r="148" spans="1:7" x14ac:dyDescent="0.3">
      <c r="A148" t="s">
        <v>147</v>
      </c>
      <c r="B148" s="2">
        <v>45525</v>
      </c>
      <c r="C148" t="s">
        <v>10</v>
      </c>
      <c r="D148">
        <v>225655</v>
      </c>
      <c r="E148" t="s">
        <v>15</v>
      </c>
      <c r="F148">
        <v>17</v>
      </c>
      <c r="G148" t="s">
        <v>18</v>
      </c>
    </row>
    <row r="149" spans="1:7" x14ac:dyDescent="0.3">
      <c r="A149" t="s">
        <v>150</v>
      </c>
      <c r="B149" s="2">
        <v>45478</v>
      </c>
      <c r="C149" t="s">
        <v>7</v>
      </c>
      <c r="D149">
        <v>132234</v>
      </c>
      <c r="E149" t="s">
        <v>8</v>
      </c>
      <c r="F149">
        <v>23</v>
      </c>
      <c r="G149" t="s">
        <v>18</v>
      </c>
    </row>
    <row r="150" spans="1:7" x14ac:dyDescent="0.3">
      <c r="A150" t="s">
        <v>151</v>
      </c>
      <c r="B150" s="2">
        <v>45631</v>
      </c>
      <c r="C150" t="s">
        <v>7</v>
      </c>
      <c r="D150">
        <v>181029</v>
      </c>
      <c r="E150" t="s">
        <v>15</v>
      </c>
      <c r="F150">
        <v>20</v>
      </c>
      <c r="G150" t="s">
        <v>18</v>
      </c>
    </row>
    <row r="151" spans="1:7" x14ac:dyDescent="0.3">
      <c r="A151" t="s">
        <v>31</v>
      </c>
      <c r="B151" s="2">
        <v>45312</v>
      </c>
      <c r="C151" t="s">
        <v>10</v>
      </c>
      <c r="D151">
        <v>111451</v>
      </c>
      <c r="E151" t="s">
        <v>8</v>
      </c>
      <c r="F151">
        <v>7</v>
      </c>
      <c r="G151" t="s">
        <v>9</v>
      </c>
    </row>
    <row r="152" spans="1:7" x14ac:dyDescent="0.3">
      <c r="A152" t="s">
        <v>40</v>
      </c>
      <c r="B152" s="2">
        <v>45464</v>
      </c>
      <c r="C152" t="s">
        <v>7</v>
      </c>
      <c r="D152">
        <v>50411</v>
      </c>
      <c r="E152" t="s">
        <v>8</v>
      </c>
      <c r="F152">
        <v>16</v>
      </c>
      <c r="G152" t="s">
        <v>11</v>
      </c>
    </row>
    <row r="153" spans="1:7" x14ac:dyDescent="0.3">
      <c r="A153" t="s">
        <v>36</v>
      </c>
      <c r="B153" s="2">
        <v>45543</v>
      </c>
      <c r="C153" t="s">
        <v>10</v>
      </c>
      <c r="D153">
        <v>213023</v>
      </c>
      <c r="E153" t="s">
        <v>8</v>
      </c>
      <c r="F153">
        <v>6</v>
      </c>
      <c r="G153" t="s">
        <v>18</v>
      </c>
    </row>
    <row r="154" spans="1:7" x14ac:dyDescent="0.3">
      <c r="A154" t="s">
        <v>152</v>
      </c>
      <c r="B154" s="2">
        <v>45374</v>
      </c>
      <c r="C154" t="s">
        <v>10</v>
      </c>
      <c r="D154">
        <v>34882</v>
      </c>
      <c r="E154" t="s">
        <v>15</v>
      </c>
      <c r="F154">
        <v>22</v>
      </c>
      <c r="G154" t="s">
        <v>18</v>
      </c>
    </row>
    <row r="155" spans="1:7" x14ac:dyDescent="0.3">
      <c r="A155" t="s">
        <v>48</v>
      </c>
      <c r="B155" s="2">
        <v>45590</v>
      </c>
      <c r="C155" t="s">
        <v>14</v>
      </c>
      <c r="D155">
        <v>104825</v>
      </c>
      <c r="E155" t="s">
        <v>8</v>
      </c>
      <c r="F155">
        <v>2</v>
      </c>
      <c r="G155" t="s">
        <v>11</v>
      </c>
    </row>
    <row r="156" spans="1:7" x14ac:dyDescent="0.3">
      <c r="A156" t="s">
        <v>153</v>
      </c>
      <c r="B156" s="2">
        <v>45567</v>
      </c>
      <c r="C156" t="s">
        <v>10</v>
      </c>
      <c r="D156">
        <v>191236</v>
      </c>
      <c r="E156" t="s">
        <v>8</v>
      </c>
      <c r="F156">
        <v>21</v>
      </c>
      <c r="G156" t="s">
        <v>9</v>
      </c>
    </row>
    <row r="157" spans="1:7" x14ac:dyDescent="0.3">
      <c r="A157" t="s">
        <v>107</v>
      </c>
      <c r="B157" s="2">
        <v>45518</v>
      </c>
      <c r="C157" t="s">
        <v>14</v>
      </c>
      <c r="D157">
        <v>189716</v>
      </c>
      <c r="E157" t="s">
        <v>8</v>
      </c>
      <c r="F157">
        <v>5</v>
      </c>
      <c r="G157" t="s">
        <v>11</v>
      </c>
    </row>
    <row r="158" spans="1:7" x14ac:dyDescent="0.3">
      <c r="A158" t="s">
        <v>137</v>
      </c>
      <c r="B158" s="2">
        <v>45517</v>
      </c>
      <c r="C158" t="s">
        <v>14</v>
      </c>
      <c r="D158">
        <v>240067</v>
      </c>
      <c r="E158" t="s">
        <v>8</v>
      </c>
      <c r="F158">
        <v>13</v>
      </c>
      <c r="G158" t="s">
        <v>12</v>
      </c>
    </row>
    <row r="159" spans="1:7" x14ac:dyDescent="0.3">
      <c r="A159" t="s">
        <v>79</v>
      </c>
      <c r="B159" s="2">
        <v>45343</v>
      </c>
      <c r="C159" t="s">
        <v>14</v>
      </c>
      <c r="D159">
        <v>170874</v>
      </c>
      <c r="E159" t="s">
        <v>8</v>
      </c>
      <c r="F159">
        <v>4</v>
      </c>
      <c r="G159" t="s">
        <v>11</v>
      </c>
    </row>
    <row r="160" spans="1:7" x14ac:dyDescent="0.3">
      <c r="A160" t="s">
        <v>154</v>
      </c>
      <c r="B160" s="2">
        <v>45616</v>
      </c>
      <c r="C160" t="s">
        <v>10</v>
      </c>
      <c r="D160">
        <v>138617</v>
      </c>
      <c r="E160" t="s">
        <v>8</v>
      </c>
      <c r="F160">
        <v>10</v>
      </c>
      <c r="G160" t="s">
        <v>12</v>
      </c>
    </row>
    <row r="161" spans="1:7" x14ac:dyDescent="0.3">
      <c r="A161" t="s">
        <v>88</v>
      </c>
      <c r="B161" s="2">
        <v>45548</v>
      </c>
      <c r="C161" t="s">
        <v>10</v>
      </c>
      <c r="D161">
        <v>147597</v>
      </c>
      <c r="E161" t="s">
        <v>15</v>
      </c>
      <c r="F161">
        <v>5</v>
      </c>
      <c r="G161" t="s">
        <v>11</v>
      </c>
    </row>
    <row r="162" spans="1:7" x14ac:dyDescent="0.3">
      <c r="A162" t="s">
        <v>155</v>
      </c>
      <c r="B162" s="2">
        <v>45593</v>
      </c>
      <c r="C162" t="s">
        <v>7</v>
      </c>
      <c r="D162">
        <v>57061</v>
      </c>
      <c r="E162" t="s">
        <v>15</v>
      </c>
      <c r="F162">
        <v>22</v>
      </c>
      <c r="G162" t="s">
        <v>18</v>
      </c>
    </row>
    <row r="163" spans="1:7" x14ac:dyDescent="0.3">
      <c r="A163" t="s">
        <v>68</v>
      </c>
      <c r="B163" s="2">
        <v>45642</v>
      </c>
      <c r="C163" t="s">
        <v>14</v>
      </c>
      <c r="D163">
        <v>118495</v>
      </c>
      <c r="E163" t="s">
        <v>8</v>
      </c>
      <c r="F163">
        <v>21</v>
      </c>
      <c r="G163" t="s">
        <v>18</v>
      </c>
    </row>
    <row r="164" spans="1:7" x14ac:dyDescent="0.3">
      <c r="A164" t="s">
        <v>156</v>
      </c>
      <c r="B164" s="2">
        <v>45595</v>
      </c>
      <c r="C164" t="s">
        <v>7</v>
      </c>
      <c r="D164">
        <v>108867</v>
      </c>
      <c r="E164" t="s">
        <v>15</v>
      </c>
      <c r="F164">
        <v>12</v>
      </c>
      <c r="G164" t="s">
        <v>18</v>
      </c>
    </row>
    <row r="165" spans="1:7" x14ac:dyDescent="0.3">
      <c r="A165" t="s">
        <v>67</v>
      </c>
      <c r="B165" s="2">
        <v>45585</v>
      </c>
      <c r="C165" t="s">
        <v>10</v>
      </c>
      <c r="D165">
        <v>90319</v>
      </c>
      <c r="E165" t="s">
        <v>8</v>
      </c>
      <c r="F165">
        <v>23</v>
      </c>
      <c r="G165" t="s">
        <v>9</v>
      </c>
    </row>
    <row r="166" spans="1:7" x14ac:dyDescent="0.3">
      <c r="A166" t="s">
        <v>146</v>
      </c>
      <c r="B166" s="2">
        <v>45535</v>
      </c>
      <c r="C166" t="s">
        <v>14</v>
      </c>
      <c r="D166">
        <v>115229</v>
      </c>
      <c r="E166" t="s">
        <v>15</v>
      </c>
      <c r="F166">
        <v>25</v>
      </c>
      <c r="G166" t="s">
        <v>11</v>
      </c>
    </row>
    <row r="167" spans="1:7" x14ac:dyDescent="0.3">
      <c r="A167" t="s">
        <v>45</v>
      </c>
      <c r="B167" s="2">
        <v>45306</v>
      </c>
      <c r="C167" t="s">
        <v>7</v>
      </c>
      <c r="D167">
        <v>63851</v>
      </c>
      <c r="E167" t="s">
        <v>8</v>
      </c>
      <c r="F167">
        <v>0</v>
      </c>
      <c r="G167" t="s">
        <v>18</v>
      </c>
    </row>
    <row r="168" spans="1:7" x14ac:dyDescent="0.3">
      <c r="A168" t="s">
        <v>157</v>
      </c>
      <c r="B168" s="2">
        <v>45450</v>
      </c>
      <c r="C168" t="s">
        <v>10</v>
      </c>
      <c r="D168">
        <v>148070</v>
      </c>
      <c r="E168" t="s">
        <v>8</v>
      </c>
      <c r="F168">
        <v>20</v>
      </c>
      <c r="G168" t="s">
        <v>11</v>
      </c>
    </row>
    <row r="169" spans="1:7" x14ac:dyDescent="0.3">
      <c r="A169" t="s">
        <v>158</v>
      </c>
      <c r="B169" s="2">
        <v>45317</v>
      </c>
      <c r="C169" t="s">
        <v>10</v>
      </c>
      <c r="D169">
        <v>127643</v>
      </c>
      <c r="E169" t="s">
        <v>8</v>
      </c>
      <c r="F169">
        <v>23</v>
      </c>
      <c r="G169" t="s">
        <v>12</v>
      </c>
    </row>
    <row r="170" spans="1:7" x14ac:dyDescent="0.3">
      <c r="A170" t="s">
        <v>159</v>
      </c>
      <c r="B170" s="2">
        <v>45408</v>
      </c>
      <c r="C170" t="s">
        <v>14</v>
      </c>
      <c r="D170">
        <v>163215</v>
      </c>
      <c r="E170" t="s">
        <v>15</v>
      </c>
      <c r="F170">
        <v>9</v>
      </c>
      <c r="G170" t="s">
        <v>18</v>
      </c>
    </row>
    <row r="171" spans="1:7" x14ac:dyDescent="0.3">
      <c r="A171" t="s">
        <v>160</v>
      </c>
      <c r="B171" s="2">
        <v>45325</v>
      </c>
      <c r="C171" t="s">
        <v>10</v>
      </c>
      <c r="D171">
        <v>170120</v>
      </c>
      <c r="E171" t="s">
        <v>15</v>
      </c>
      <c r="F171">
        <v>3</v>
      </c>
      <c r="G171" t="s">
        <v>18</v>
      </c>
    </row>
    <row r="172" spans="1:7" x14ac:dyDescent="0.3">
      <c r="A172" t="s">
        <v>33</v>
      </c>
      <c r="B172" s="2">
        <v>45497</v>
      </c>
      <c r="C172" t="s">
        <v>10</v>
      </c>
      <c r="D172">
        <v>38880</v>
      </c>
      <c r="E172" t="s">
        <v>15</v>
      </c>
      <c r="F172">
        <v>15</v>
      </c>
      <c r="G172" t="s">
        <v>11</v>
      </c>
    </row>
    <row r="173" spans="1:7" x14ac:dyDescent="0.3">
      <c r="A173" t="s">
        <v>161</v>
      </c>
      <c r="B173" s="2">
        <v>45430</v>
      </c>
      <c r="C173" t="s">
        <v>7</v>
      </c>
      <c r="D173">
        <v>6810</v>
      </c>
      <c r="E173" t="s">
        <v>15</v>
      </c>
      <c r="F173">
        <v>7</v>
      </c>
      <c r="G173" t="s">
        <v>11</v>
      </c>
    </row>
    <row r="174" spans="1:7" x14ac:dyDescent="0.3">
      <c r="A174" t="s">
        <v>51</v>
      </c>
      <c r="B174" s="2">
        <v>45390</v>
      </c>
      <c r="C174" t="s">
        <v>10</v>
      </c>
      <c r="D174">
        <v>81936</v>
      </c>
      <c r="E174" t="s">
        <v>8</v>
      </c>
      <c r="F174">
        <v>16</v>
      </c>
      <c r="G174" t="s">
        <v>18</v>
      </c>
    </row>
    <row r="175" spans="1:7" x14ac:dyDescent="0.3">
      <c r="A175" t="s">
        <v>75</v>
      </c>
      <c r="B175" s="2">
        <v>45333</v>
      </c>
      <c r="C175" t="s">
        <v>10</v>
      </c>
      <c r="D175">
        <v>188045</v>
      </c>
      <c r="E175" t="s">
        <v>8</v>
      </c>
      <c r="F175">
        <v>3</v>
      </c>
      <c r="G175" t="s">
        <v>11</v>
      </c>
    </row>
    <row r="176" spans="1:7" x14ac:dyDescent="0.3">
      <c r="A176" t="s">
        <v>162</v>
      </c>
      <c r="B176" s="2">
        <v>45510</v>
      </c>
      <c r="C176" t="s">
        <v>14</v>
      </c>
      <c r="D176">
        <v>65372</v>
      </c>
      <c r="E176" t="s">
        <v>15</v>
      </c>
      <c r="F176">
        <v>17</v>
      </c>
      <c r="G176" t="s">
        <v>9</v>
      </c>
    </row>
    <row r="177" spans="1:7" x14ac:dyDescent="0.3">
      <c r="A177" t="s">
        <v>19</v>
      </c>
      <c r="B177" s="2">
        <v>45576</v>
      </c>
      <c r="C177" t="s">
        <v>14</v>
      </c>
      <c r="D177">
        <v>144131</v>
      </c>
      <c r="E177" t="s">
        <v>8</v>
      </c>
      <c r="F177">
        <v>25</v>
      </c>
      <c r="G177" t="s">
        <v>11</v>
      </c>
    </row>
    <row r="178" spans="1:7" x14ac:dyDescent="0.3">
      <c r="A178" t="s">
        <v>102</v>
      </c>
      <c r="B178" s="2">
        <v>45328</v>
      </c>
      <c r="C178" t="s">
        <v>7</v>
      </c>
      <c r="D178">
        <v>213374</v>
      </c>
      <c r="E178" t="s">
        <v>8</v>
      </c>
      <c r="F178">
        <v>23</v>
      </c>
      <c r="G178" t="s">
        <v>9</v>
      </c>
    </row>
    <row r="179" spans="1:7" x14ac:dyDescent="0.3">
      <c r="A179" t="s">
        <v>63</v>
      </c>
      <c r="B179" s="2">
        <v>45611</v>
      </c>
      <c r="C179" t="s">
        <v>7</v>
      </c>
      <c r="D179">
        <v>148495</v>
      </c>
      <c r="E179" t="s">
        <v>8</v>
      </c>
      <c r="F179">
        <v>13</v>
      </c>
      <c r="G179" t="s">
        <v>18</v>
      </c>
    </row>
    <row r="180" spans="1:7" x14ac:dyDescent="0.3">
      <c r="A180" t="s">
        <v>163</v>
      </c>
      <c r="B180" s="2">
        <v>45526</v>
      </c>
      <c r="C180" t="s">
        <v>10</v>
      </c>
      <c r="D180">
        <v>114203</v>
      </c>
      <c r="E180" t="s">
        <v>15</v>
      </c>
      <c r="F180">
        <v>10</v>
      </c>
      <c r="G180" t="s">
        <v>9</v>
      </c>
    </row>
    <row r="181" spans="1:7" x14ac:dyDescent="0.3">
      <c r="A181" t="s">
        <v>164</v>
      </c>
      <c r="B181" s="2">
        <v>45467</v>
      </c>
      <c r="C181" t="s">
        <v>10</v>
      </c>
      <c r="D181">
        <v>247934</v>
      </c>
      <c r="E181" t="s">
        <v>8</v>
      </c>
      <c r="F181">
        <v>13</v>
      </c>
      <c r="G181" t="s">
        <v>11</v>
      </c>
    </row>
    <row r="182" spans="1:7" x14ac:dyDescent="0.3">
      <c r="A182" t="s">
        <v>150</v>
      </c>
      <c r="B182" s="2">
        <v>45549</v>
      </c>
      <c r="C182" t="s">
        <v>10</v>
      </c>
      <c r="D182">
        <v>234710</v>
      </c>
      <c r="E182" t="s">
        <v>8</v>
      </c>
      <c r="F182">
        <v>5</v>
      </c>
      <c r="G182" t="s">
        <v>18</v>
      </c>
    </row>
    <row r="183" spans="1:7" x14ac:dyDescent="0.3">
      <c r="A183" t="s">
        <v>86</v>
      </c>
      <c r="B183" s="2">
        <v>45582</v>
      </c>
      <c r="C183" t="s">
        <v>14</v>
      </c>
      <c r="D183">
        <v>177339</v>
      </c>
      <c r="E183" t="s">
        <v>15</v>
      </c>
      <c r="F183">
        <v>8</v>
      </c>
      <c r="G183" t="s">
        <v>9</v>
      </c>
    </row>
    <row r="184" spans="1:7" x14ac:dyDescent="0.3">
      <c r="A184" t="s">
        <v>158</v>
      </c>
      <c r="B184" s="2">
        <v>45542</v>
      </c>
      <c r="C184" t="s">
        <v>10</v>
      </c>
      <c r="D184">
        <v>139839</v>
      </c>
      <c r="E184" t="s">
        <v>15</v>
      </c>
      <c r="F184">
        <v>13</v>
      </c>
      <c r="G184" t="s">
        <v>11</v>
      </c>
    </row>
    <row r="185" spans="1:7" x14ac:dyDescent="0.3">
      <c r="A185" t="s">
        <v>165</v>
      </c>
      <c r="B185" s="2">
        <v>45447</v>
      </c>
      <c r="C185" t="s">
        <v>10</v>
      </c>
      <c r="D185">
        <v>72282</v>
      </c>
      <c r="E185" t="s">
        <v>8</v>
      </c>
      <c r="F185">
        <v>9</v>
      </c>
      <c r="G185" t="s">
        <v>11</v>
      </c>
    </row>
    <row r="186" spans="1:7" x14ac:dyDescent="0.3">
      <c r="A186" t="s">
        <v>166</v>
      </c>
      <c r="B186" s="2">
        <v>45498</v>
      </c>
      <c r="C186" t="s">
        <v>10</v>
      </c>
      <c r="D186">
        <v>85686</v>
      </c>
      <c r="E186" t="s">
        <v>15</v>
      </c>
      <c r="F186">
        <v>10</v>
      </c>
      <c r="G186" t="s">
        <v>9</v>
      </c>
    </row>
    <row r="187" spans="1:7" x14ac:dyDescent="0.3">
      <c r="A187" t="s">
        <v>167</v>
      </c>
      <c r="B187" s="2">
        <v>45642</v>
      </c>
      <c r="C187" t="s">
        <v>14</v>
      </c>
      <c r="D187">
        <v>197582</v>
      </c>
      <c r="E187" t="s">
        <v>8</v>
      </c>
      <c r="F187">
        <v>10</v>
      </c>
      <c r="G187" t="s">
        <v>18</v>
      </c>
    </row>
    <row r="188" spans="1:7" x14ac:dyDescent="0.3">
      <c r="A188" t="s">
        <v>137</v>
      </c>
      <c r="B188" s="2">
        <v>45324</v>
      </c>
      <c r="C188" t="s">
        <v>7</v>
      </c>
      <c r="D188">
        <v>203219</v>
      </c>
      <c r="E188" t="s">
        <v>8</v>
      </c>
      <c r="F188">
        <v>11</v>
      </c>
      <c r="G188" t="s">
        <v>11</v>
      </c>
    </row>
    <row r="189" spans="1:7" x14ac:dyDescent="0.3">
      <c r="A189" t="s">
        <v>168</v>
      </c>
      <c r="B189" s="2">
        <v>45528</v>
      </c>
      <c r="C189" t="s">
        <v>10</v>
      </c>
      <c r="D189">
        <v>202257</v>
      </c>
      <c r="E189" t="s">
        <v>15</v>
      </c>
      <c r="F189">
        <v>5</v>
      </c>
      <c r="G189" t="s">
        <v>9</v>
      </c>
    </row>
    <row r="190" spans="1:7" x14ac:dyDescent="0.3">
      <c r="A190" t="s">
        <v>28</v>
      </c>
      <c r="B190" s="2">
        <v>45312</v>
      </c>
      <c r="C190" t="s">
        <v>14</v>
      </c>
      <c r="D190">
        <v>216891</v>
      </c>
      <c r="E190" t="s">
        <v>15</v>
      </c>
      <c r="F190">
        <v>0</v>
      </c>
      <c r="G190" t="s">
        <v>12</v>
      </c>
    </row>
    <row r="191" spans="1:7" x14ac:dyDescent="0.3">
      <c r="A191" t="s">
        <v>169</v>
      </c>
      <c r="B191" s="2">
        <v>45579</v>
      </c>
      <c r="C191" t="s">
        <v>10</v>
      </c>
      <c r="D191">
        <v>107850</v>
      </c>
      <c r="E191" t="s">
        <v>15</v>
      </c>
      <c r="F191">
        <v>2</v>
      </c>
      <c r="G191" t="s">
        <v>12</v>
      </c>
    </row>
    <row r="192" spans="1:7" x14ac:dyDescent="0.3">
      <c r="A192" t="s">
        <v>170</v>
      </c>
      <c r="B192" s="2">
        <v>45349</v>
      </c>
      <c r="C192" t="s">
        <v>10</v>
      </c>
      <c r="D192">
        <v>86543</v>
      </c>
      <c r="E192" t="s">
        <v>8</v>
      </c>
      <c r="F192">
        <v>24</v>
      </c>
      <c r="G192" t="s">
        <v>9</v>
      </c>
    </row>
    <row r="193" spans="1:7" x14ac:dyDescent="0.3">
      <c r="A193" t="s">
        <v>111</v>
      </c>
      <c r="B193" s="2">
        <v>45646</v>
      </c>
      <c r="C193" t="s">
        <v>7</v>
      </c>
      <c r="D193">
        <v>52761</v>
      </c>
      <c r="E193" t="s">
        <v>8</v>
      </c>
      <c r="F193">
        <v>2</v>
      </c>
      <c r="G193" t="s">
        <v>18</v>
      </c>
    </row>
    <row r="194" spans="1:7" x14ac:dyDescent="0.3">
      <c r="A194" t="s">
        <v>27</v>
      </c>
      <c r="B194" s="2">
        <v>45447</v>
      </c>
      <c r="C194" t="s">
        <v>14</v>
      </c>
      <c r="D194">
        <v>215426</v>
      </c>
      <c r="E194" t="s">
        <v>8</v>
      </c>
      <c r="F194">
        <v>23</v>
      </c>
      <c r="G194" t="s">
        <v>9</v>
      </c>
    </row>
    <row r="195" spans="1:7" x14ac:dyDescent="0.3">
      <c r="A195" t="s">
        <v>151</v>
      </c>
      <c r="B195" s="2">
        <v>45371</v>
      </c>
      <c r="C195" t="s">
        <v>10</v>
      </c>
      <c r="D195">
        <v>226551</v>
      </c>
      <c r="E195" t="s">
        <v>8</v>
      </c>
      <c r="F195">
        <v>23</v>
      </c>
      <c r="G195" t="s">
        <v>12</v>
      </c>
    </row>
    <row r="196" spans="1:7" x14ac:dyDescent="0.3">
      <c r="A196" t="s">
        <v>70</v>
      </c>
      <c r="B196" s="2">
        <v>45574</v>
      </c>
      <c r="C196" t="s">
        <v>7</v>
      </c>
      <c r="D196">
        <v>31487</v>
      </c>
      <c r="E196" t="s">
        <v>15</v>
      </c>
      <c r="F196">
        <v>3</v>
      </c>
      <c r="G196" t="s">
        <v>18</v>
      </c>
    </row>
    <row r="197" spans="1:7" x14ac:dyDescent="0.3">
      <c r="A197" t="s">
        <v>171</v>
      </c>
      <c r="B197" s="2">
        <v>45535</v>
      </c>
      <c r="C197" t="s">
        <v>14</v>
      </c>
      <c r="D197">
        <v>99386</v>
      </c>
      <c r="E197" t="s">
        <v>8</v>
      </c>
      <c r="F197">
        <v>4</v>
      </c>
      <c r="G197" t="s">
        <v>9</v>
      </c>
    </row>
    <row r="198" spans="1:7" x14ac:dyDescent="0.3">
      <c r="A198" t="s">
        <v>53</v>
      </c>
      <c r="B198" s="2">
        <v>45600</v>
      </c>
      <c r="C198" t="s">
        <v>14</v>
      </c>
      <c r="D198">
        <v>134508</v>
      </c>
      <c r="E198" t="s">
        <v>8</v>
      </c>
      <c r="F198">
        <v>9</v>
      </c>
      <c r="G198" t="s">
        <v>11</v>
      </c>
    </row>
    <row r="199" spans="1:7" x14ac:dyDescent="0.3">
      <c r="A199" t="s">
        <v>57</v>
      </c>
      <c r="B199" s="2">
        <v>45469</v>
      </c>
      <c r="C199" t="s">
        <v>10</v>
      </c>
      <c r="D199">
        <v>200824</v>
      </c>
      <c r="E199" t="s">
        <v>8</v>
      </c>
      <c r="F199">
        <v>3</v>
      </c>
      <c r="G199" t="s">
        <v>9</v>
      </c>
    </row>
    <row r="200" spans="1:7" x14ac:dyDescent="0.3">
      <c r="A200" t="s">
        <v>24</v>
      </c>
      <c r="B200" s="2">
        <v>45359</v>
      </c>
      <c r="C200" t="s">
        <v>10</v>
      </c>
      <c r="D200">
        <v>130750</v>
      </c>
      <c r="E200" t="s">
        <v>8</v>
      </c>
      <c r="F200">
        <v>0</v>
      </c>
      <c r="G200" t="s">
        <v>12</v>
      </c>
    </row>
    <row r="201" spans="1:7" x14ac:dyDescent="0.3">
      <c r="A201" t="s">
        <v>172</v>
      </c>
      <c r="B201" s="2">
        <v>45474</v>
      </c>
      <c r="C201" t="s">
        <v>14</v>
      </c>
      <c r="D201">
        <v>16418</v>
      </c>
      <c r="E201" t="s">
        <v>15</v>
      </c>
      <c r="F201">
        <v>11</v>
      </c>
      <c r="G201" t="s">
        <v>12</v>
      </c>
    </row>
  </sheetData>
  <autoFilter ref="A1:G201" xr:uid="{B770EF25-C9D8-468D-8725-3FC34F72B6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Overview</vt:lpstr>
      <vt:lpstr>Dashboard</vt:lpstr>
      <vt:lpstr>Pivot Table</vt:lpstr>
      <vt:lpstr>Data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Tejal Gole</dc:creator>
  <cp:lastModifiedBy>Tejal Gole</cp:lastModifiedBy>
  <dcterms:created xsi:type="dcterms:W3CDTF">2025-10-22T13:39:28Z</dcterms:created>
  <dcterms:modified xsi:type="dcterms:W3CDTF">2026-02-12T19:14:04Z</dcterms:modified>
</cp:coreProperties>
</file>